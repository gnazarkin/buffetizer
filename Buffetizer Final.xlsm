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Gleb Nazarkin\Desktop\"/>
    </mc:Choice>
  </mc:AlternateContent>
  <bookViews>
    <workbookView xWindow="2976" yWindow="1776" windowWidth="16608" windowHeight="9432"/>
  </bookViews>
  <sheets>
    <sheet name="DCF" sheetId="1" r:id="rId1"/>
    <sheet name="Sensitivity" sheetId="10" r:id="rId2"/>
    <sheet name="Stocks" sheetId="12" r:id="rId3"/>
    <sheet name="Inputs" sheetId="6" r:id="rId4"/>
    <sheet name="IS" sheetId="2" state="hidden" r:id="rId5"/>
    <sheet name="BS" sheetId="3" state="hidden" r:id="rId6"/>
    <sheet name="CF" sheetId="7" state="hidden" r:id="rId7"/>
    <sheet name="Bonds" sheetId="8" state="hidden" r:id="rId8"/>
    <sheet name="Stats" sheetId="9" state="hidden" r:id="rId9"/>
    <sheet name="Stock" sheetId="11" state="hidden" r:id="rId10"/>
  </sheets>
  <definedNames>
    <definedName name="ExternalData_1" localSheetId="5">BS!$A$1:$H$70</definedName>
    <definedName name="ExternalData_1" localSheetId="6">CF!$A$1:$H$51</definedName>
    <definedName name="ExternalData_1" localSheetId="4">IS!#REF!</definedName>
    <definedName name="ExternalData_1" localSheetId="9">Stock!$A$1:$C$34</definedName>
    <definedName name="ExternalData_10" localSheetId="5">BS!$A$1:$H$70</definedName>
    <definedName name="ExternalData_10" localSheetId="8">Stats!$A$1:$G$74</definedName>
    <definedName name="ExternalData_10" localSheetId="9">Stock!$A$1:$C$34</definedName>
    <definedName name="ExternalData_11" localSheetId="5">BS!$A$1:$H$70</definedName>
    <definedName name="ExternalData_11" localSheetId="6">CF!$A$1:$H$51</definedName>
    <definedName name="ExternalData_11" localSheetId="9">Stock!$A$1:$C$34</definedName>
    <definedName name="ExternalData_12" localSheetId="7">Bonds!$A$1:$E$16</definedName>
    <definedName name="ExternalData_12" localSheetId="5">BS!$A$1:$H$70</definedName>
    <definedName name="ExternalData_12" localSheetId="6">CF!$A$1:$H$51</definedName>
    <definedName name="ExternalData_12" localSheetId="4">IS!$A$1:$I$59</definedName>
    <definedName name="ExternalData_12" localSheetId="8">Stats!$A$1:$G$74</definedName>
    <definedName name="ExternalData_12" localSheetId="9">Stock!$A$1:$C$34</definedName>
    <definedName name="ExternalData_13" localSheetId="5">BS!$A$1:$H$70</definedName>
    <definedName name="ExternalData_13" localSheetId="6">CF!$A$1:$H$51</definedName>
    <definedName name="ExternalData_13" localSheetId="4">IS!$A$1:$I$59</definedName>
    <definedName name="ExternalData_13" localSheetId="8">Stats!$A$1:$G$74</definedName>
    <definedName name="ExternalData_13" localSheetId="9">Stock!$A$1:$C$34</definedName>
    <definedName name="ExternalData_14" localSheetId="5">BS!$A$1:$H$70</definedName>
    <definedName name="ExternalData_14" localSheetId="6">CF!$A$1:$H$51</definedName>
    <definedName name="ExternalData_14" localSheetId="4">IS!$A$1:$I$59</definedName>
    <definedName name="ExternalData_14" localSheetId="8">Stats!$A$1:$G$74</definedName>
    <definedName name="ExternalData_14" localSheetId="9">Stock!$A$1:$C$34</definedName>
    <definedName name="ExternalData_15" localSheetId="7">Bonds!$A$1:$E$16</definedName>
    <definedName name="ExternalData_15" localSheetId="6">CF!$A$1:$H$51</definedName>
    <definedName name="ExternalData_15" localSheetId="8">Stats!$A$1:$G$74</definedName>
    <definedName name="ExternalData_15" localSheetId="9">Stock!$A$1:$C$34</definedName>
    <definedName name="ExternalData_16" localSheetId="7">Bonds!$A$1:$E$16</definedName>
    <definedName name="ExternalData_16" localSheetId="5">BS!$A$1:$H$70</definedName>
    <definedName name="ExternalData_16" localSheetId="4">IS!$A$1:$I$59</definedName>
    <definedName name="ExternalData_16" localSheetId="8">Stats!$A$1:$G$74</definedName>
    <definedName name="ExternalData_16" localSheetId="9">Stock!$A$1:$C$34</definedName>
    <definedName name="ExternalData_17" localSheetId="7">Bonds!$A$1:$E$28</definedName>
    <definedName name="ExternalData_17" localSheetId="5">BS!$A$1:$H$70</definedName>
    <definedName name="ExternalData_17" localSheetId="6">CF!$A$1:$H$51</definedName>
    <definedName name="ExternalData_17" localSheetId="4">IS!$A$1:$I$59</definedName>
    <definedName name="ExternalData_17" localSheetId="9">Stock!$A$1:$C$34</definedName>
    <definedName name="ExternalData_18" localSheetId="7">Bonds!$A$1:$E$16</definedName>
    <definedName name="ExternalData_18" localSheetId="5">BS!$A$1:$H$70</definedName>
    <definedName name="ExternalData_18" localSheetId="6">CF!$A$1:$H$51</definedName>
    <definedName name="ExternalData_18" localSheetId="4">IS!$A$1:$I$59</definedName>
    <definedName name="ExternalData_18" localSheetId="8">Stats!$A$1:$G$74</definedName>
    <definedName name="ExternalData_18" localSheetId="9">Stock!$A$1:$C$34</definedName>
    <definedName name="ExternalData_19" localSheetId="5">BS!$A$1:$H$70</definedName>
    <definedName name="ExternalData_19" localSheetId="4">IS!$A$1:$I$59</definedName>
    <definedName name="ExternalData_19" localSheetId="8">Stats!$A$1:$G$74</definedName>
    <definedName name="ExternalData_19" localSheetId="9">Stock!$A$1:$C$34</definedName>
    <definedName name="ExternalData_2" localSheetId="4">IS!$A$1:$I$59</definedName>
    <definedName name="ExternalData_2" localSheetId="9">Stock!$A$1:$C$34</definedName>
    <definedName name="ExternalData_20" localSheetId="5">BS!$A$1:$H$70</definedName>
    <definedName name="ExternalData_20" localSheetId="6">CF!$A$1:$H$51</definedName>
    <definedName name="ExternalData_20" localSheetId="4">IS!$A$1:$I$59</definedName>
    <definedName name="ExternalData_20" localSheetId="8">Stats!$A$1:$G$74</definedName>
    <definedName name="ExternalData_20" localSheetId="9">Stock!$A$1:$C$34</definedName>
    <definedName name="ExternalData_21" localSheetId="7">Bonds!$A$1:$E$16</definedName>
    <definedName name="ExternalData_21" localSheetId="5">BS!$A$1:$H$70</definedName>
    <definedName name="ExternalData_21" localSheetId="6">CF!$A$1:$H$51</definedName>
    <definedName name="ExternalData_21" localSheetId="4">IS!$A$1:$J$59</definedName>
    <definedName name="ExternalData_21" localSheetId="8">Stats!$A$1:$G$74</definedName>
    <definedName name="ExternalData_21" localSheetId="9">Stock!$A$1:$C$34</definedName>
    <definedName name="ExternalData_22" localSheetId="7">Bonds!$A$1:$E$16</definedName>
    <definedName name="ExternalData_22" localSheetId="5">BS!$A$1:$H$70</definedName>
    <definedName name="ExternalData_22" localSheetId="6">CF!$A$1:$H$51</definedName>
    <definedName name="ExternalData_22" localSheetId="8">Stats!$A$1:$G$74</definedName>
    <definedName name="ExternalData_22" localSheetId="9">Stock!$A$1:$C$34</definedName>
    <definedName name="ExternalData_23" localSheetId="7">Bonds!$A$1:$E$28</definedName>
    <definedName name="ExternalData_23" localSheetId="5">BS!$A$1:$H$70</definedName>
    <definedName name="ExternalData_23" localSheetId="4">IS!$A$1:$I$59</definedName>
    <definedName name="ExternalData_23" localSheetId="9">Stock!$A$1:$C$34</definedName>
    <definedName name="ExternalData_24" localSheetId="7">Bonds!$A$1:$E$28</definedName>
    <definedName name="ExternalData_24" localSheetId="8">Stats!$A$1:$G$74</definedName>
    <definedName name="ExternalData_24" localSheetId="9">Stock!$A$1:$C$34</definedName>
    <definedName name="ExternalData_25" localSheetId="7">Bonds!$A$1:$E$16</definedName>
    <definedName name="ExternalData_25" localSheetId="5">BS!$A$1:$H$70</definedName>
    <definedName name="ExternalData_25" localSheetId="6">CF!$A$1:$H$51</definedName>
    <definedName name="ExternalData_25" localSheetId="8">Stats!$A$1:$G$74</definedName>
    <definedName name="ExternalData_25" localSheetId="9">Stock!$A$1:$C$34</definedName>
    <definedName name="ExternalData_26" localSheetId="7">Bonds!$A$1:$E$28</definedName>
    <definedName name="ExternalData_26" localSheetId="5">BS!$A$1:$H$70</definedName>
    <definedName name="ExternalData_26" localSheetId="6">CF!$A$1:$H$51</definedName>
    <definedName name="ExternalData_26" localSheetId="8">Stats!$A$1:$G$74</definedName>
    <definedName name="ExternalData_26" localSheetId="9">Stock!$A$1:$C$34</definedName>
    <definedName name="ExternalData_27" localSheetId="7">Bonds!$A$1:$E$28</definedName>
    <definedName name="ExternalData_27" localSheetId="5">BS!$A$1:$H$70</definedName>
    <definedName name="ExternalData_27" localSheetId="6">CF!$A$1:$H$51</definedName>
    <definedName name="ExternalData_27" localSheetId="8">Stats!$A$1:$G$74</definedName>
    <definedName name="ExternalData_27" localSheetId="9">Stock!$A$1:$C$34</definedName>
    <definedName name="ExternalData_28" localSheetId="7">Bonds!$A$1:$E$16</definedName>
    <definedName name="ExternalData_28" localSheetId="5">BS!$A$1:$H$70</definedName>
    <definedName name="ExternalData_28" localSheetId="6">CF!$A$1:$H$51</definedName>
    <definedName name="ExternalData_28" localSheetId="8">Stats!$A$1:$G$74</definedName>
    <definedName name="ExternalData_28" localSheetId="9">Stock!$A$1:$C$34</definedName>
    <definedName name="ExternalData_29" localSheetId="7">Bonds!$A$1:$E$16</definedName>
    <definedName name="ExternalData_29" localSheetId="5">BS!$A$1:$H$70</definedName>
    <definedName name="ExternalData_29" localSheetId="6">CF!$A$1:$H$51</definedName>
    <definedName name="ExternalData_29" localSheetId="8">Stats!$A$1:$G$74</definedName>
    <definedName name="ExternalData_29" localSheetId="9">Stock!$A$1:$C$34</definedName>
    <definedName name="ExternalData_3" localSheetId="7">Bonds!$A$1:$E$16</definedName>
    <definedName name="ExternalData_3" localSheetId="6">CF!$A$1:$H$51</definedName>
    <definedName name="ExternalData_3" localSheetId="4">IS!$A$1:$I$59</definedName>
    <definedName name="ExternalData_3" localSheetId="8">Stats!$A$1:$G$74</definedName>
    <definedName name="ExternalData_3" localSheetId="9">Stock!$A$1:$C$34</definedName>
    <definedName name="ExternalData_30" localSheetId="7">Bonds!$A$1:$E$16</definedName>
    <definedName name="ExternalData_30" localSheetId="5">BS!$A$1:$D$21</definedName>
    <definedName name="ExternalData_30" localSheetId="6">CF!$A$1:$D$21</definedName>
    <definedName name="ExternalData_30" localSheetId="8">Stats!$A$1:$G$74</definedName>
    <definedName name="ExternalData_30" localSheetId="9">Stock!$A$1:$C$34</definedName>
    <definedName name="ExternalData_31" localSheetId="7">Bonds!$A$1:$E$28</definedName>
    <definedName name="ExternalData_31" localSheetId="5">BS!$A$1:$F$24</definedName>
    <definedName name="ExternalData_31" localSheetId="6">CF!$A$1:$F$24</definedName>
    <definedName name="ExternalData_31" localSheetId="8">Stats!$A$1:$D$18</definedName>
    <definedName name="ExternalData_31" localSheetId="9">Stock!$A$1:$C$34</definedName>
    <definedName name="ExternalData_32" localSheetId="7">Bonds!$A$1:$E$16</definedName>
    <definedName name="ExternalData_32" localSheetId="5">BS!$A$1:$H$70</definedName>
    <definedName name="ExternalData_32" localSheetId="6">CF!$A$1:$H$51</definedName>
    <definedName name="ExternalData_32" localSheetId="8">Stats!$A$1:$F$24</definedName>
    <definedName name="ExternalData_32" localSheetId="9">Stock!$A$1:$C$34</definedName>
    <definedName name="ExternalData_33" localSheetId="7">Bonds!$A$1:$E$28</definedName>
    <definedName name="ExternalData_33" localSheetId="5">BS!$A$1:$H$70</definedName>
    <definedName name="ExternalData_33" localSheetId="4">IS!$A$1:$I$59</definedName>
    <definedName name="ExternalData_33" localSheetId="8">Stats!$A$1:$G$74</definedName>
    <definedName name="ExternalData_33" localSheetId="9">Stock!$A$1:$C$34</definedName>
    <definedName name="ExternalData_34" localSheetId="7">Bonds!$A$1:$E$16</definedName>
    <definedName name="ExternalData_34" localSheetId="5">BS!$A$1:$H$70</definedName>
    <definedName name="ExternalData_34" localSheetId="6">CF!$A$1:$H$51</definedName>
    <definedName name="ExternalData_34" localSheetId="4">IS!$A$1:$I$59</definedName>
    <definedName name="ExternalData_34" localSheetId="9">Stock!$A$1:$C$34</definedName>
    <definedName name="ExternalData_35" localSheetId="7">Bonds!$A$1:$E$16</definedName>
    <definedName name="ExternalData_35" localSheetId="5">BS!$A$1:$H$70</definedName>
    <definedName name="ExternalData_35" localSheetId="6">CF!$A$1:$H$51</definedName>
    <definedName name="ExternalData_35" localSheetId="8">Stats!$A$1:$G$74</definedName>
    <definedName name="ExternalData_35" localSheetId="9">Stock!$A$1:$C$34</definedName>
    <definedName name="ExternalData_36" localSheetId="7">Bonds!$A$1:$E$28</definedName>
    <definedName name="ExternalData_36" localSheetId="5">BS!$A$1:$H$70</definedName>
    <definedName name="ExternalData_36" localSheetId="6">CF!$A$1:$H$51</definedName>
    <definedName name="ExternalData_36" localSheetId="4">IS!$A$1:$J$59</definedName>
    <definedName name="ExternalData_36" localSheetId="8">Stats!$A$1:$G$74</definedName>
    <definedName name="ExternalData_36" localSheetId="9">Stock!$A$1:$C$34</definedName>
    <definedName name="ExternalData_37" localSheetId="7">Bonds!$A$1:$E$28</definedName>
    <definedName name="ExternalData_37" localSheetId="5">BS!$A$1:$H$70</definedName>
    <definedName name="ExternalData_37" localSheetId="6">CF!$A$1:$H$51</definedName>
    <definedName name="ExternalData_37" localSheetId="4">IS!$A$1:$I$59</definedName>
    <definedName name="ExternalData_37" localSheetId="8">Stats!$A$1:$G$74</definedName>
    <definedName name="ExternalData_37" localSheetId="9">Stock!$A$1:$C$34</definedName>
    <definedName name="ExternalData_38" localSheetId="4">IS!$A$1:$I$59</definedName>
    <definedName name="ExternalData_38" localSheetId="8">Stats!$A$1:$G$74</definedName>
    <definedName name="ExternalData_38" localSheetId="9">Stock!$A$1:$B$28</definedName>
    <definedName name="ExternalData_39" localSheetId="4">IS!$A$1:$I$59</definedName>
    <definedName name="ExternalData_39" localSheetId="9">Stock!$A$1:$F$24</definedName>
    <definedName name="ExternalData_4" localSheetId="6">CF!$A$1:$H$51</definedName>
    <definedName name="ExternalData_4" localSheetId="4">IS!$A$1:$I$59</definedName>
    <definedName name="ExternalData_4" localSheetId="8">Stats!$A$1:$G$74</definedName>
    <definedName name="ExternalData_4" localSheetId="9">Stock!$A$1:$C$34</definedName>
    <definedName name="ExternalData_40" localSheetId="4">IS!$A$1:$I$59</definedName>
    <definedName name="ExternalData_40" localSheetId="9">Stock!$A$1:$C$33</definedName>
    <definedName name="ExternalData_41" localSheetId="9">Stock!$A$1:$C$33</definedName>
    <definedName name="ExternalData_42" localSheetId="4">IS!$A$1:$D$21</definedName>
    <definedName name="ExternalData_42" localSheetId="9">Stock!$A$1:$C$33</definedName>
    <definedName name="ExternalData_43" localSheetId="4">IS!$A$1:$F$24</definedName>
    <definedName name="ExternalData_43" localSheetId="9">Stock!$A$1:$C$33</definedName>
    <definedName name="ExternalData_44" localSheetId="4">IS!$A$1:$I$59</definedName>
    <definedName name="ExternalData_44" localSheetId="9">Stock!$A$1:$C$34</definedName>
    <definedName name="ExternalData_45" localSheetId="4">IS!$A$1:$I$59</definedName>
    <definedName name="ExternalData_45" localSheetId="9">Stock!$A$1:$C$34</definedName>
    <definedName name="ExternalData_46" localSheetId="4">IS!$A$1:$I$59</definedName>
    <definedName name="ExternalData_46" localSheetId="9">Stock!$A$1:$C$34</definedName>
    <definedName name="ExternalData_47" localSheetId="4">IS!$A$1:$I$59</definedName>
    <definedName name="ExternalData_48" localSheetId="4">IS!$A$1:$I$59</definedName>
    <definedName name="ExternalData_49" localSheetId="4">IS!$A$1:$I$59</definedName>
    <definedName name="ExternalData_5" localSheetId="7">Bonds!$A$1:$E$16</definedName>
    <definedName name="ExternalData_5" localSheetId="6">CF!$A$1:$H$51</definedName>
    <definedName name="ExternalData_5" localSheetId="4">IS!$A$1:$I$59</definedName>
    <definedName name="ExternalData_5" localSheetId="9">Stock!$A$1:$C$34</definedName>
    <definedName name="ExternalData_6" localSheetId="7">Bonds!$A$1:$E$16</definedName>
    <definedName name="ExternalData_6" localSheetId="4">IS!$A$1:$I$59</definedName>
    <definedName name="ExternalData_6" localSheetId="9">Stock!$A$1:$C$34</definedName>
    <definedName name="ExternalData_7" localSheetId="7">Bonds!$A$1:$E$16</definedName>
    <definedName name="ExternalData_7" localSheetId="6">CF!$A$1:$H$51</definedName>
    <definedName name="ExternalData_7" localSheetId="4">IS!$A$1:$I$59</definedName>
    <definedName name="ExternalData_7" localSheetId="9">Stock!$A$1:$C$33</definedName>
    <definedName name="ExternalData_8" localSheetId="5">BS!$A$1:$H$70</definedName>
    <definedName name="ExternalData_8" localSheetId="4">IS!$A$1:$I$59</definedName>
    <definedName name="ExternalData_8" localSheetId="9">Stock!$A$1:$C$33</definedName>
    <definedName name="ExternalData_9" localSheetId="7">Bonds!$A$1:$E$16</definedName>
    <definedName name="ExternalData_9" localSheetId="6">CF!$A$1:$H$51</definedName>
    <definedName name="ExternalData_9" localSheetId="4">IS!$A$1:$I$59</definedName>
    <definedName name="ExternalData_9" localSheetId="8">Stats!$A$1:$G$74</definedName>
    <definedName name="ExternalData_9" localSheetId="9">Stock!$A$1:$C$34</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P3" i="10" l="1"/>
  <c r="P4" i="10"/>
  <c r="D16" i="12"/>
  <c r="D17" i="12"/>
  <c r="D18" i="12"/>
  <c r="D19" i="12"/>
  <c r="D20" i="12"/>
  <c r="D21" i="12"/>
  <c r="D15" i="12"/>
  <c r="D14" i="12"/>
  <c r="D13" i="12"/>
  <c r="D12" i="12"/>
  <c r="D11" i="12"/>
  <c r="J10" i="12"/>
  <c r="K10" i="12"/>
  <c r="L10" i="12"/>
  <c r="M10" i="12"/>
  <c r="N10" i="12"/>
  <c r="O10" i="12"/>
  <c r="I10" i="12"/>
  <c r="H10" i="12"/>
  <c r="G10" i="12"/>
  <c r="F10" i="12"/>
  <c r="E10" i="12"/>
  <c r="D10" i="12"/>
  <c r="C10" i="12"/>
  <c r="H47" i="6"/>
  <c r="H44" i="6"/>
  <c r="H15" i="6"/>
  <c r="H5" i="6"/>
  <c r="L62" i="6"/>
  <c r="L65" i="6"/>
  <c r="K23" i="1"/>
  <c r="F35" i="1"/>
  <c r="L64" i="6"/>
  <c r="F54" i="6"/>
  <c r="F58" i="6"/>
  <c r="L63" i="6"/>
  <c r="E6" i="6"/>
  <c r="E4" i="6"/>
  <c r="E7" i="6"/>
  <c r="F6" i="6"/>
  <c r="F4" i="6"/>
  <c r="F7" i="6"/>
  <c r="G6" i="6"/>
  <c r="G4" i="6"/>
  <c r="G7" i="6"/>
  <c r="H7" i="6"/>
  <c r="I7" i="6"/>
  <c r="J7" i="6"/>
  <c r="K7" i="6"/>
  <c r="L7" i="6"/>
  <c r="F5" i="6"/>
  <c r="G5" i="6"/>
  <c r="H4" i="6"/>
  <c r="I4" i="6"/>
  <c r="J4" i="6"/>
  <c r="K4" i="6"/>
  <c r="L4" i="6"/>
  <c r="L6" i="6"/>
  <c r="L9" i="1"/>
  <c r="E14" i="6"/>
  <c r="E9" i="6"/>
  <c r="E12" i="6"/>
  <c r="E15" i="6"/>
  <c r="F14" i="6"/>
  <c r="F9" i="6"/>
  <c r="F12" i="6"/>
  <c r="F15" i="6"/>
  <c r="G14" i="6"/>
  <c r="G9" i="6"/>
  <c r="G12" i="6"/>
  <c r="G15" i="6"/>
  <c r="I15" i="6"/>
  <c r="J15" i="6"/>
  <c r="K15" i="6"/>
  <c r="L15" i="6"/>
  <c r="L10" i="1"/>
  <c r="L11" i="1"/>
  <c r="E41" i="6"/>
  <c r="E43" i="6"/>
  <c r="E44" i="6"/>
  <c r="F41" i="6"/>
  <c r="F43" i="6"/>
  <c r="F44" i="6"/>
  <c r="G41" i="6"/>
  <c r="G43" i="6"/>
  <c r="G44" i="6"/>
  <c r="I44" i="6"/>
  <c r="J44" i="6"/>
  <c r="K44" i="6"/>
  <c r="L44" i="6"/>
  <c r="L41" i="6"/>
  <c r="L43" i="6"/>
  <c r="E46" i="6"/>
  <c r="E47" i="6"/>
  <c r="F46" i="6"/>
  <c r="F47" i="6"/>
  <c r="G46" i="6"/>
  <c r="G47" i="6"/>
  <c r="I47" i="6"/>
  <c r="J47" i="6"/>
  <c r="K47" i="6"/>
  <c r="L47" i="6"/>
  <c r="L46" i="6"/>
  <c r="L13" i="1"/>
  <c r="L14" i="1"/>
  <c r="E22" i="6"/>
  <c r="E26" i="6"/>
  <c r="E27" i="6"/>
  <c r="F22" i="6"/>
  <c r="F26" i="6"/>
  <c r="F27" i="6"/>
  <c r="G22" i="6"/>
  <c r="G26" i="6"/>
  <c r="G27" i="6"/>
  <c r="H27" i="6"/>
  <c r="I27" i="6"/>
  <c r="J27" i="6"/>
  <c r="K27" i="6"/>
  <c r="L27" i="6"/>
  <c r="L22" i="6"/>
  <c r="L26" i="6"/>
  <c r="E29" i="6"/>
  <c r="E30" i="6"/>
  <c r="F29" i="6"/>
  <c r="F30" i="6"/>
  <c r="G29" i="6"/>
  <c r="G30" i="6"/>
  <c r="H30" i="6"/>
  <c r="I30" i="6"/>
  <c r="J30" i="6"/>
  <c r="K30" i="6"/>
  <c r="L30" i="6"/>
  <c r="L29" i="6"/>
  <c r="E23" i="6"/>
  <c r="E32" i="6"/>
  <c r="E33" i="6"/>
  <c r="F23" i="6"/>
  <c r="F32" i="6"/>
  <c r="F33" i="6"/>
  <c r="G23" i="6"/>
  <c r="G32" i="6"/>
  <c r="G33" i="6"/>
  <c r="H33" i="6"/>
  <c r="I33" i="6"/>
  <c r="J33" i="6"/>
  <c r="K33" i="6"/>
  <c r="L33" i="6"/>
  <c r="E24" i="6"/>
  <c r="F24" i="6"/>
  <c r="G24" i="6"/>
  <c r="H24" i="6"/>
  <c r="I24" i="6"/>
  <c r="J24" i="6"/>
  <c r="K24" i="6"/>
  <c r="L24" i="6"/>
  <c r="L23" i="6"/>
  <c r="L32" i="6"/>
  <c r="L35" i="6"/>
  <c r="K22" i="6"/>
  <c r="K26" i="6"/>
  <c r="K29" i="6"/>
  <c r="K23" i="6"/>
  <c r="K32" i="6"/>
  <c r="K35" i="6"/>
  <c r="L37" i="6"/>
  <c r="L15" i="1"/>
  <c r="L17" i="1"/>
  <c r="L28" i="1"/>
  <c r="F33" i="1"/>
  <c r="L58" i="6"/>
  <c r="L61" i="6"/>
  <c r="H6" i="6"/>
  <c r="H9" i="1"/>
  <c r="H10" i="1"/>
  <c r="H11" i="1"/>
  <c r="H41" i="6"/>
  <c r="H43" i="6"/>
  <c r="H46" i="6"/>
  <c r="H13" i="1"/>
  <c r="H14" i="1"/>
  <c r="H22" i="6"/>
  <c r="H26" i="6"/>
  <c r="H29" i="6"/>
  <c r="H23" i="6"/>
  <c r="H32" i="6"/>
  <c r="H35" i="6"/>
  <c r="G35" i="6"/>
  <c r="H37" i="6"/>
  <c r="H15" i="1"/>
  <c r="H17" i="1"/>
  <c r="H28" i="1"/>
  <c r="I41" i="6"/>
  <c r="I43" i="6"/>
  <c r="I46" i="6"/>
  <c r="I13" i="1"/>
  <c r="I14" i="1"/>
  <c r="I6" i="6"/>
  <c r="I9" i="1"/>
  <c r="I10" i="1"/>
  <c r="I11" i="1"/>
  <c r="I22" i="6"/>
  <c r="I26" i="6"/>
  <c r="I29" i="6"/>
  <c r="I23" i="6"/>
  <c r="I32" i="6"/>
  <c r="I35" i="6"/>
  <c r="I37" i="6"/>
  <c r="I15" i="1"/>
  <c r="I17" i="1"/>
  <c r="I28" i="1"/>
  <c r="J41" i="6"/>
  <c r="J43" i="6"/>
  <c r="J46" i="6"/>
  <c r="J13" i="1"/>
  <c r="J14" i="1"/>
  <c r="J6" i="6"/>
  <c r="J9" i="1"/>
  <c r="J10" i="1"/>
  <c r="J11" i="1"/>
  <c r="J22" i="6"/>
  <c r="J26" i="6"/>
  <c r="J29" i="6"/>
  <c r="J23" i="6"/>
  <c r="J32" i="6"/>
  <c r="J35" i="6"/>
  <c r="J37" i="6"/>
  <c r="J15" i="1"/>
  <c r="J17" i="1"/>
  <c r="J28" i="1"/>
  <c r="K41" i="6"/>
  <c r="K43" i="6"/>
  <c r="K46" i="6"/>
  <c r="K13" i="1"/>
  <c r="K14" i="1"/>
  <c r="K6" i="6"/>
  <c r="K9" i="1"/>
  <c r="K10" i="1"/>
  <c r="K11" i="1"/>
  <c r="K37" i="6"/>
  <c r="K15" i="1"/>
  <c r="K17" i="1"/>
  <c r="K28" i="1"/>
  <c r="H29" i="1"/>
  <c r="F37" i="1"/>
  <c r="F39" i="1"/>
  <c r="E10" i="6"/>
  <c r="F10" i="6"/>
  <c r="G10" i="6"/>
  <c r="H10" i="6"/>
  <c r="F31" i="1"/>
  <c r="D7" i="10"/>
  <c r="E7" i="10"/>
  <c r="E13" i="10"/>
  <c r="E14" i="10"/>
  <c r="E15" i="10"/>
  <c r="E16" i="10"/>
  <c r="E17" i="10"/>
  <c r="E18" i="10"/>
  <c r="E12" i="10"/>
  <c r="E11" i="10"/>
  <c r="E10" i="10"/>
  <c r="E9" i="10"/>
  <c r="E8" i="10"/>
  <c r="K7" i="10"/>
  <c r="L7" i="10"/>
  <c r="M7" i="10"/>
  <c r="N7" i="10"/>
  <c r="O7" i="10"/>
  <c r="P7" i="10"/>
  <c r="J7" i="10"/>
  <c r="I7" i="10"/>
  <c r="H7" i="10"/>
  <c r="G7" i="10"/>
  <c r="F7" i="10"/>
  <c r="F61" i="6"/>
  <c r="J33" i="1"/>
  <c r="L27" i="1"/>
  <c r="K27" i="1"/>
  <c r="J27" i="1"/>
  <c r="I27" i="1"/>
  <c r="H27" i="1"/>
  <c r="G9" i="1"/>
  <c r="G10" i="1"/>
  <c r="G11" i="1"/>
  <c r="F35" i="6"/>
  <c r="G37" i="6"/>
  <c r="G15" i="1"/>
  <c r="G13" i="1"/>
  <c r="G14" i="1"/>
  <c r="G17" i="1"/>
  <c r="J35" i="1"/>
  <c r="J37" i="1"/>
  <c r="J38" i="1"/>
  <c r="J39" i="1"/>
  <c r="K22" i="1"/>
  <c r="F63" i="6"/>
  <c r="F51" i="6"/>
  <c r="E17" i="6"/>
  <c r="G17" i="6"/>
  <c r="F17" i="6"/>
  <c r="I10" i="6"/>
  <c r="J10" i="6"/>
  <c r="K10" i="6"/>
  <c r="L10" i="6"/>
  <c r="E35" i="6"/>
  <c r="F37" i="6"/>
  <c r="H9" i="6"/>
  <c r="H12" i="6"/>
  <c r="H14" i="6"/>
  <c r="H17" i="6"/>
  <c r="I9" i="6"/>
  <c r="I12" i="6"/>
  <c r="J9" i="6"/>
  <c r="J12" i="6"/>
  <c r="I14" i="6"/>
  <c r="I17" i="6"/>
  <c r="K9" i="6"/>
  <c r="K12" i="6"/>
  <c r="J14" i="6"/>
  <c r="J17" i="6"/>
  <c r="L9" i="6"/>
  <c r="L12" i="6"/>
  <c r="K14" i="6"/>
  <c r="K17" i="6"/>
  <c r="L14" i="6"/>
  <c r="L17" i="6"/>
</calcChain>
</file>

<file path=xl/connections.xml><?xml version="1.0" encoding="utf-8"?>
<connections xmlns="http://schemas.openxmlformats.org/spreadsheetml/2006/main">
  <connection id="1" name="Connection" type="4" refreshedVersion="4" background="1">
    <webPr xl2000="1" url="http://finance.yahoo.com/q/is?s=+Income+Statement&amp;annual" htmlTables="1" htmlFormat="all"/>
  </connection>
  <connection id="2" name="Connection1" type="4" refreshedVersion="4" background="1" saveData="1">
    <webPr xl2000="1" url="http://finance.yahoo.com/q/is?s=INTC+Income+Statement&amp;annual" htmlTables="1" htmlFormat="all"/>
  </connection>
  <connection id="3" name="Connection10" type="4" refreshedVersion="5" background="1" saveData="1">
    <webPr xl2000="1" url="http://finance.yahoo.com/q/is?s=YHOO+Income+Statement&amp;annual" htmlTables="1" htmlFormat="all"/>
  </connection>
  <connection id="4" name="Connection100" type="4" refreshedVersion="5" background="1" saveData="1">
    <webPr xl2000="1" url="http://finance.yahoo.com/q/is?s=AAPL+Income+Statement&amp;annual" htmlTables="1" htmlFormat="all"/>
  </connection>
  <connection id="5" name="Connection101" type="4" refreshedVersion="5" background="1" saveData="1">
    <webPr xl2000="1" url="http://finance.yahoo.com/q/bs?s=MSFT+Balance+Sheet&amp;annual" htmlTables="1" htmlFormat="all"/>
  </connection>
  <connection id="6" name="Connection102" type="4" refreshedVersion="4" background="1" saveData="1">
    <webPr xl2000="1" url="http://finance.yahoo.com/q?s=MRK" htmlTables="1" htmlFormat="all"/>
  </connection>
  <connection id="7" name="Connection103" type="4" refreshedVersion="5" background="1" saveData="1">
    <webPr xl2000="1" url="http://finance.yahoo.com/q?s=MSFT" htmlTables="1" htmlFormat="all"/>
  </connection>
  <connection id="8" name="Connection104" type="4" refreshedVersion="4" background="1" saveData="1">
    <webPr xl2000="1" url="http://finance.yahoo.com/q/cf?s=MRK+Cash+Flow&amp;annual" htmlTables="1" htmlFormat="all"/>
  </connection>
  <connection id="9" name="Connection105" type="4" refreshedVersion="5" background="1" saveData="1">
    <webPr xl2000="1" url="http://finance.yahoo.com/q/ks?s=MSFT+Key+Statistics" htmlTables="1" htmlFormat="all"/>
  </connection>
  <connection id="10" name="Connection106" type="4" refreshedVersion="4" background="1" saveData="1">
    <webPr xl2000="1" url="http://finance.yahoo.com/q/bs?s=ANF+Balance+Sheet&amp;annual" htmlTables="1" htmlFormat="all"/>
  </connection>
  <connection id="11" name="Connection107" type="4" refreshedVersion="5" background="1" saveData="1">
    <webPr xl2000="1" url="http://finance.yahoo.com/q/is?s=MSFT+Income+Statement&amp;annual" htmlTables="1" htmlFormat="all"/>
  </connection>
  <connection id="12" name="Connection108" type="4" refreshedVersion="5" background="1" saveData="1">
    <webPr xl2000="1" url="http://finance.yahoo.com/q/bs?s=MSFT+Balance+Sheet&amp;annual" htmlTables="1" htmlFormat="all"/>
  </connection>
  <connection id="13" name="Connection109" type="4" refreshedVersion="5" background="1" saveData="1">
    <webPr xl2000="1" url="http://finance.yahoo.com/q?s=MSFT" htmlTables="1" htmlFormat="all"/>
  </connection>
  <connection id="14" name="Connection11" type="4" refreshedVersion="0" background="1">
    <webPr url="http://finance.yahoo.com/q/bs?s=+Balance+Sheet&amp;annual" htmlTables="1" htmlFormat="all"/>
  </connection>
  <connection id="15" name="Connection110" type="4" refreshedVersion="5" background="1" saveData="1">
    <webPr xl2000="1" url="http://finance.yahoo.com/q/cf?s=MSFT+Cash+Flow&amp;annual" htmlTables="1" htmlFormat="all"/>
  </connection>
  <connection id="16" name="Connection111" type="4" refreshedVersion="5" background="1" saveData="1">
    <webPr xl2000="1" url="http://finance.yahoo.com/q/ks?s=MSFT+Key+Statistics" htmlTables="1" htmlFormat="all"/>
  </connection>
  <connection id="17" name="Connection112" type="4" refreshedVersion="5" background="1" saveData="1">
    <webPr xl2000="1" url="http://finance.yahoo.com/q/is?s=AAPL+Income+Statement&amp;annual" htmlTables="1" htmlFormat="all"/>
  </connection>
  <connection id="18" name="Connection113" type="4" refreshedVersion="4" background="1" saveData="1">
    <webPr xl2000="1" url="http://finance.yahoo.com/q?s=ANF" htmlTables="1" htmlFormat="all"/>
  </connection>
  <connection id="19" name="Connection114" type="4" refreshedVersion="5" background="1" saveData="1">
    <webPr xl2000="1" url="http://finance.yahoo.com/q/bs?s=MSFT+Balance+Sheet&amp;annual" htmlTables="1" htmlFormat="all"/>
  </connection>
  <connection id="20" name="Connection115" type="4" refreshedVersion="5" background="1" saveData="1">
    <webPr xl2000="1" url="http://finance.yahoo.com/q?s=MSFT" htmlTables="1" htmlFormat="all"/>
  </connection>
  <connection id="21" name="Connection116" type="4" refreshedVersion="5" background="1" saveData="1">
    <webPr xl2000="1" url="http://finance.yahoo.com/q/cf?s=MSFT+Cash+Flow&amp;annual" htmlTables="1" htmlFormat="all"/>
  </connection>
  <connection id="22" name="Connection117" type="4" refreshedVersion="5" background="1" saveData="1">
    <webPr xl2000="1" url="http://finance.yahoo.com/q/ks?s=MSFT+Key+Statistics" htmlTables="1" htmlFormat="all"/>
  </connection>
  <connection id="23" name="Connection118" type="4" refreshedVersion="5" background="1" saveData="1">
    <webPr xl2000="1" url="http://finance.yahoo.com/bonds" htmlTables="1" htmlFormat="all"/>
  </connection>
  <connection id="24" name="Connection119" type="4" refreshedVersion="4" background="1" saveData="1">
    <webPr xl2000="1" url="http://finance.yahoo.com/q/ks?s=MRK+Key+Statistics" htmlTables="1" htmlFormat="all"/>
  </connection>
  <connection id="25" name="Connection12" type="4" refreshedVersion="5" background="1" saveData="1">
    <webPr xl2000="1" url="http://finance.yahoo.com/q/cf?s=YHOO+Cash+Flow&amp;annual" htmlTables="1" htmlFormat="all"/>
  </connection>
  <connection id="26" name="Connection120" type="4" refreshedVersion="5" background="1" saveData="1">
    <webPr xl2000="1" url="http://finance.yahoo.com/q/bs?s=MSFT+Balance+Sheet&amp;annual" htmlTables="1" htmlFormat="all"/>
  </connection>
  <connection id="27" name="Connection121" type="4" refreshedVersion="5" background="1" saveData="1">
    <webPr xl2000="1" url="http://finance.yahoo.com/q?s=MSFT" htmlTables="1" htmlFormat="all"/>
  </connection>
  <connection id="28" name="Connection122" type="4" refreshedVersion="4" background="1" saveData="1">
    <webPr xl2000="1" url="http://finance.yahoo.com/q/cf?s=ANF+Cash+Flow&amp;annual" htmlTables="1" htmlFormat="all"/>
  </connection>
  <connection id="29" name="Connection123" type="4" refreshedVersion="5" background="1" saveData="1">
    <webPr xl2000="1" url="http://finance.yahoo.com/q/ks?s=MSFT+Key+Statistics" htmlTables="1" htmlFormat="all"/>
  </connection>
  <connection id="30" name="Connection124" type="4" refreshedVersion="5" background="1" saveData="1">
    <webPr xl2000="1" url="http://finance.yahoo.com/bonds" htmlTables="1" htmlFormat="all"/>
  </connection>
  <connection id="31" name="Connection125" type="4" refreshedVersion="5" background="1" saveData="1">
    <webPr xl2000="1" url="http://finance.yahoo.com/q/bs?s=AAPL+Balance+Sheet&amp;annual" htmlTables="1" htmlFormat="all"/>
  </connection>
  <connection id="32" name="Connection126" type="4" refreshedVersion="5" background="1" saveData="1">
    <webPr xl2000="1" url="http://finance.yahoo.com/q?s=AAPL" htmlTables="1" htmlFormat="all"/>
  </connection>
  <connection id="33" name="Connection127" type="4" refreshedVersion="5" background="1" saveData="1">
    <webPr xl2000="1" url="http://finance.yahoo.com/q/is?s=MSFT+Income+Statement&amp;annual" htmlTables="1" htmlFormat="all"/>
  </connection>
  <connection id="34" name="Connection128" type="4" refreshedVersion="5" background="1" saveData="1">
    <webPr xl2000="1" url="http://finance.yahoo.com/q/bs?s=MSFT+Balance+Sheet&amp;annual" htmlTables="1" htmlFormat="all"/>
  </connection>
  <connection id="35" name="Connection129" type="4" refreshedVersion="5" background="1" saveData="1">
    <webPr xl2000="1" url="http://finance.yahoo.com/q?s=MSFT" htmlTables="1" htmlFormat="all"/>
  </connection>
  <connection id="36" name="Connection13" type="4" refreshedVersion="5" background="1" saveData="1">
    <webPr xl2000="1" url="http://finance.yahoo.com/q/ks?s=YHOO+Key+Statistics" htmlTables="1" htmlFormat="all"/>
  </connection>
  <connection id="37" name="Connection130" type="4" refreshedVersion="5" background="1" saveData="1">
    <webPr xl2000="1" url="http://finance.yahoo.com/q/cf?s=MSFT+Cash+Flow&amp;annual" htmlTables="1" htmlFormat="all"/>
  </connection>
  <connection id="38" name="Connection131" type="4" refreshedVersion="5" background="1" saveData="1">
    <webPr xl2000="1" url="http://finance.yahoo.com/q/cf?s=AAPL+Cash+Flow&amp;annual" htmlTables="1" htmlFormat="all"/>
  </connection>
  <connection id="39" name="Connection132" type="4" refreshedVersion="5" background="1" saveData="1">
    <webPr xl2000="1" url="http://finance.yahoo.com/bonds" htmlTables="1" htmlFormat="all"/>
  </connection>
  <connection id="40" name="Connection133" type="4" refreshedVersion="5" background="1" saveData="1">
    <webPr xl2000="1" url="http://finance.yahoo.com/q/is?s=AAPL+Income+Statement&amp;annual" htmlTables="1" htmlFormat="all"/>
  </connection>
  <connection id="41" name="Connection134" type="4" refreshedVersion="5" background="1" saveData="1">
    <webPr xl2000="1" url="http://finance.yahoo.com/q/bs?s=AAPL+Balance+Sheet&amp;annual" htmlTables="1" htmlFormat="all"/>
  </connection>
  <connection id="42" name="Connection135" type="4" refreshedVersion="5" background="1" saveData="1">
    <webPr xl2000="1" url="http://finance.yahoo.com/q?s=AAPL" htmlTables="1" htmlFormat="all"/>
  </connection>
  <connection id="43" name="Connection136" type="4" refreshedVersion="5" background="1" saveData="1">
    <webPr xl2000="1" url="http://finance.yahoo.com/q/ks?s=AAPL+Key+Statistics" htmlTables="1" htmlFormat="all"/>
  </connection>
  <connection id="44" name="Connection137" type="4" refreshedVersion="5" background="1" saveData="1">
    <webPr xl2000="1" url="http://finance.yahoo.com/q/ks?s=AAPL+Key+Statistics" htmlTables="1" htmlFormat="all"/>
  </connection>
  <connection id="45" name="Connection138" type="4" refreshedVersion="5" background="1" saveData="1">
    <webPr xl2000="1" url="http://finance.yahoo.com/bonds" htmlTables="1" htmlFormat="all"/>
  </connection>
  <connection id="46" name="Connection139" type="4" refreshedVersion="5" background="1" saveData="1">
    <webPr xl2000="1" url="http://finance.yahoo.com/bonds" htmlTables="1" htmlFormat="all"/>
  </connection>
  <connection id="47" name="Connection14" type="4" refreshedVersion="4" background="1" saveData="1">
    <webPr xl2000="1" url="http://finance.yahoo.com/q?s=MRK" htmlTables="1" htmlFormat="all"/>
  </connection>
  <connection id="48" name="Connection140" type="4" refreshedVersion="5" background="1" saveData="1">
    <webPr xl2000="1" url="http://finance.yahoo.com/q/bs?s=AAPL+Balance+Sheet&amp;annual" htmlTables="1" htmlFormat="all"/>
  </connection>
  <connection id="49" name="Connection141" type="4" refreshedVersion="5" background="1" saveData="1">
    <webPr xl2000="1" url="http://finance.yahoo.com/q?s=AAPL" htmlTables="1" htmlFormat="all"/>
  </connection>
  <connection id="50" name="Connection142" type="4" refreshedVersion="5" background="1" saveData="1">
    <webPr xl2000="1" url="http://finance.yahoo.com/q?s=AAPL" htmlTables="1" htmlFormat="all"/>
  </connection>
  <connection id="51" name="Connection143" type="4" refreshedVersion="5" background="1" saveData="1">
    <webPr xl2000="1" url="http://finance.yahoo.com/q?s=AAPL" htmlTables="1" htmlFormat="all"/>
  </connection>
  <connection id="52" name="Connection144" type="4" refreshedVersion="5" background="1" saveData="1">
    <webPr xl2000="1" url="http://finance.yahoo.com/q?s=AAPL" htmlTables="1" htmlFormat="all"/>
  </connection>
  <connection id="53" name="Connection145" type="4" refreshedVersion="5" background="1" saveData="1">
    <webPr xl2000="1" url="http://finance.yahoo.com/q/cf?s=AAPL+Cash+Flow&amp;annual" htmlTables="1" htmlFormat="all"/>
  </connection>
  <connection id="54" name="Connection146" type="4" refreshedVersion="5" background="1" saveData="1">
    <webPr xl2000="1" url="http://finance.yahoo.com/q/ks?s=AAPL+Key+Statistics" htmlTables="1" htmlFormat="all"/>
  </connection>
  <connection id="55" name="Connection147" type="4" refreshedVersion="5" background="1" saveData="1">
    <webPr xl2000="1" url="http://finance.yahoo.com/bonds" htmlTables="1" htmlFormat="all"/>
  </connection>
  <connection id="56" name="Connection148" type="4" refreshedVersion="5" background="1" saveData="1">
    <webPr xl2000="1" url="http://finance.yahoo.com/q/is?s=MSFT+Income+Statement&amp;annual" htmlTables="1" htmlFormat="all"/>
  </connection>
  <connection id="57" name="Connection149" type="4" refreshedVersion="5" background="1" saveData="1">
    <webPr xl2000="1" url="http://finance.yahoo.com/q/bs?s=MSFT+Balance+Sheet&amp;annual" htmlTables="1" htmlFormat="all"/>
  </connection>
  <connection id="58" name="Connection15" type="4" refreshedVersion="5" background="1" saveData="1">
    <webPr xl2000="1" url="http://finance.yahoo.com/q/is?s=YHOO+Income+Statement&amp;annual" htmlTables="1" htmlFormat="all"/>
  </connection>
  <connection id="59" name="Connection150" type="4" refreshedVersion="5" background="1" saveData="1">
    <webPr xl2000="1" url="http://finance.yahoo.com/q?s=MSFT" htmlTables="1" htmlFormat="all"/>
  </connection>
  <connection id="60" name="Connection151" type="4" refreshedVersion="5" background="1" saveData="1">
    <webPr xl2000="1" url="http://finance.yahoo.com/q?s=MSFT" htmlTables="1" htmlFormat="all"/>
  </connection>
  <connection id="61" name="Connection152" type="4" refreshedVersion="5" background="1" saveData="1">
    <webPr xl2000="1" url="http://finance.yahoo.com/q/cf?s=MSFT+Cash+Flow&amp;annual" htmlTables="1" htmlFormat="all"/>
  </connection>
  <connection id="62" name="Connection153" type="4" refreshedVersion="5" background="1" saveData="1">
    <webPr xl2000="1" url="http://finance.yahoo.com/q/ks?s=MSFT+Key+Statistics" htmlTables="1" htmlFormat="all"/>
  </connection>
  <connection id="63" name="Connection154" type="4" refreshedVersion="5" background="1" saveData="1">
    <webPr xl2000="1" url="http://finance.yahoo.com/bonds" htmlTables="1" htmlFormat="all"/>
  </connection>
  <connection id="64" name="Connection155" type="4" refreshedVersion="4" background="1" saveData="1">
    <webPr xl2000="1" url="http://finance.yahoo.com/bonds" htmlTables="1" htmlFormat="all"/>
  </connection>
  <connection id="65" name="Connection156" type="4" refreshedVersion="5" background="1" saveData="1">
    <webPr xl2000="1" url="http://finance.yahoo.com/q/ks?s=AAPL+Key+Statistics" htmlTables="1" htmlFormat="all"/>
  </connection>
  <connection id="66" name="Connection157" type="4" refreshedVersion="4" background="1" saveData="1">
    <webPr xl2000="1" url="http://finance.yahoo.com/q/bs?s=MRK+Balance+Sheet&amp;annual" htmlTables="1" htmlFormat="all"/>
  </connection>
  <connection id="67" name="Connection158" type="4" refreshedVersion="4" background="1" saveData="1">
    <webPr xl2000="1" url="http://finance.yahoo.com/q?s=MRK" htmlTables="1" htmlFormat="all"/>
  </connection>
  <connection id="68" name="Connection159" type="4" refreshedVersion="4" background="1" saveData="1">
    <webPr xl2000="1" url="http://finance.yahoo.com/q/cf?s=MRK+Cash+Flow&amp;annual" htmlTables="1" htmlFormat="all"/>
  </connection>
  <connection id="69" name="Connection16" type="4" refreshedVersion="4" background="1" saveData="1">
    <webPr xl2000="1" url="http://finance.yahoo.com/q/ks?s=MRK+Key+Statistics" htmlTables="1" htmlFormat="all"/>
  </connection>
  <connection id="70" name="Connection160" type="4" refreshedVersion="4" background="1" saveData="1">
    <webPr xl2000="1" url="http://finance.yahoo.com/q/ks?s=MRK+Key+Statistics" htmlTables="1" htmlFormat="all"/>
  </connection>
  <connection id="71" name="Connection161" type="4" refreshedVersion="4" background="1" saveData="1">
    <webPr xl2000="1" url="http://finance.yahoo.com/bonds" htmlTables="1" htmlFormat="all"/>
  </connection>
  <connection id="72" name="Connection162" type="4" refreshedVersion="4" background="1" saveData="1">
    <webPr xl2000="1" url="http://finance.yahoo.com/q/is?s=APPL+Income+Statement&amp;annual" htmlTables="1" htmlFormat="all"/>
  </connection>
  <connection id="73" name="Connection163" type="4" refreshedVersion="4" background="1" saveData="1">
    <webPr xl2000="1" url="http://finance.yahoo.com/q/bs?s=APPL+Balance+Sheet&amp;annual" htmlTables="1" htmlFormat="all"/>
  </connection>
  <connection id="74" name="Connection164" type="4" refreshedVersion="4" background="1" saveData="1">
    <webPr xl2000="1" url="http://finance.yahoo.com/q?s=APPL" htmlTables="1" htmlFormat="all"/>
  </connection>
  <connection id="75" name="Connection165" type="4" refreshedVersion="4" background="1" saveData="1">
    <webPr xl2000="1" url="http://finance.yahoo.com/q/cf?s=APPL+Cash+Flow&amp;annual" htmlTables="1" htmlFormat="all"/>
  </connection>
  <connection id="76" name="Connection166" type="4" refreshedVersion="4" background="1" saveData="1">
    <webPr xl2000="1" url="http://finance.yahoo.com/q/ks?s=APPL+Key+Statistics" htmlTables="1" htmlFormat="all"/>
  </connection>
  <connection id="77" name="Connection167" type="4" refreshedVersion="4" background="1" saveData="1">
    <webPr xl2000="1" url="http://finance.yahoo.com/bonds" htmlTables="1" htmlFormat="all"/>
  </connection>
  <connection id="78" name="Connection168" type="4" refreshedVersion="4" background="1" saveData="1">
    <webPr xl2000="1" url="http://finance.yahoo.com/q/is?s=nk+Income+Statement&amp;annual" htmlTables="1" htmlFormat="all"/>
  </connection>
  <connection id="79" name="Connection169" type="4" refreshedVersion="4" background="1" saveData="1">
    <webPr xl2000="1" url="http://finance.yahoo.com/q/bs?s=nk+Balance+Sheet&amp;annual" htmlTables="1" htmlFormat="all"/>
  </connection>
  <connection id="80" name="Connection17" type="4" refreshedVersion="5" background="1" saveData="1">
    <webPr xl2000="1" url="http://finance.yahoo.com/q/cf?s=YHOO+Cash+Flow&amp;annual" htmlTables="1" htmlFormat="all"/>
  </connection>
  <connection id="81" name="Connection170" type="4" refreshedVersion="4" background="1" saveData="1">
    <webPr xl2000="1" url="http://finance.yahoo.com/q?s=nk" htmlTables="1" htmlFormat="all"/>
  </connection>
  <connection id="82" name="Connection171" type="4" refreshedVersion="4" background="1" saveData="1">
    <webPr xl2000="1" url="http://finance.yahoo.com/q/cf?s=nk+Cash+Flow&amp;annual" htmlTables="1" htmlFormat="all"/>
  </connection>
  <connection id="83" name="Connection172" type="4" refreshedVersion="4" background="1" saveData="1">
    <webPr xl2000="1" url="http://finance.yahoo.com/q/ks?s=nk+Key+Statistics" htmlTables="1" htmlFormat="all"/>
  </connection>
  <connection id="84" name="Connection173" type="4" refreshedVersion="4" background="1" saveData="1">
    <webPr xl2000="1" url="http://finance.yahoo.com/bonds" htmlTables="1" htmlFormat="all"/>
  </connection>
  <connection id="85" name="Connection174" type="4" refreshedVersion="4" background="1" saveData="1">
    <webPr xl2000="1" url="http://finance.yahoo.com/q/is?s=MCD+Income+Statement&amp;annual" htmlTables="1" htmlFormat="all"/>
  </connection>
  <connection id="86" name="Connection175" type="4" refreshedVersion="4" background="1" saveData="1">
    <webPr xl2000="1" url="http://finance.yahoo.com/q/bs?s=MCD+Balance+Sheet&amp;annual" htmlTables="1" htmlFormat="all"/>
  </connection>
  <connection id="87" name="Connection176" type="4" refreshedVersion="4" background="1" saveData="1">
    <webPr xl2000="1" url="http://finance.yahoo.com/q?s=MCD" htmlTables="1" htmlFormat="all"/>
  </connection>
  <connection id="88" name="Connection177" type="4" refreshedVersion="4" background="1" saveData="1">
    <webPr xl2000="1" url="http://finance.yahoo.com/q/cf?s=MCD+Cash+Flow&amp;annual" htmlTables="1" htmlFormat="all"/>
  </connection>
  <connection id="89" name="Connection178" type="4" refreshedVersion="4" background="1" saveData="1">
    <webPr xl2000="1" url="http://finance.yahoo.com/q/ks?s=MCD+Key+Statistics" htmlTables="1" htmlFormat="all"/>
  </connection>
  <connection id="90" name="Connection179" type="4" refreshedVersion="4" background="1" saveData="1">
    <webPr xl2000="1" url="http://finance.yahoo.com/bonds" htmlTables="1" htmlFormat="all"/>
  </connection>
  <connection id="91" name="Connection18" type="4" refreshedVersion="5" background="1" saveData="1">
    <webPr xl2000="1" url="http://finance.yahoo.com/q/ks?s=YHOO+Key+Statistics" htmlTables="1" htmlFormat="all"/>
  </connection>
  <connection id="92" name="Connection180" type="4" refreshedVersion="4" background="1" saveData="1">
    <webPr xl2000="1" url="http://finance.yahoo.com/q/ks?s=ANF+Key+Statistics" htmlTables="1" htmlFormat="all"/>
  </connection>
  <connection id="93" name="Connection181" type="4" refreshedVersion="4" background="1" saveData="1">
    <webPr xl2000="1" url="http://finance.yahoo.com/bonds" htmlTables="1" htmlFormat="all"/>
  </connection>
  <connection id="94" name="Connection182" type="4" refreshedVersion="4" background="1" saveData="1">
    <webPr xl2000="1" url="http://finance.yahoo.com/q/is?s=MRK+Income+Statement&amp;annual" htmlTables="1" htmlFormat="all"/>
  </connection>
  <connection id="95" name="Connection183" type="4" refreshedVersion="4" background="1" saveData="1">
    <webPr xl2000="1" url="http://finance.yahoo.com/q/bs?s=MRK+Balance+Sheet&amp;annual" htmlTables="1" htmlFormat="all"/>
  </connection>
  <connection id="96" name="Connection184" type="4" refreshedVersion="4" background="1" saveData="1">
    <webPr xl2000="1" url="http://finance.yahoo.com/q?s=ANF" htmlTables="1" htmlFormat="all"/>
  </connection>
  <connection id="97" name="Connection185" type="4" refreshedVersion="4" background="1" saveData="1">
    <webPr xl2000="1" url="http://finance.yahoo.com/q?s=MRK" htmlTables="1" htmlFormat="all"/>
  </connection>
  <connection id="98" name="Connection186" type="4" refreshedVersion="4" background="1" saveData="1">
    <webPr xl2000="1" url="http://finance.yahoo.com/q/cf?s=MRK+Cash+Flow&amp;annual" htmlTables="1" htmlFormat="all"/>
  </connection>
  <connection id="99" name="Connection187" type="4" refreshedVersion="4" background="1" saveData="1">
    <webPr xl2000="1" url="http://finance.yahoo.com/q/ks?s=MRK+Key+Statistics" htmlTables="1" htmlFormat="all"/>
  </connection>
  <connection id="100" name="Connection188" type="4" refreshedVersion="4" background="1" saveData="1">
    <webPr xl2000="1" url="http://finance.yahoo.com/bonds" htmlTables="1" htmlFormat="all"/>
  </connection>
  <connection id="101" name="Connection189" type="4" refreshedVersion="5" background="1" saveData="1">
    <webPr xl2000="1" url="http://finance.yahoo.com/bonds" htmlTables="1" htmlFormat="all"/>
  </connection>
  <connection id="102" name="Connection19" type="4" refreshedVersion="5" background="1" saveData="1">
    <webPr xl2000="1" url="http://finance.yahoo.com/bonds" htmlTables="1" htmlFormat="all"/>
  </connection>
  <connection id="103" name="Connection190" type="4" refreshedVersion="5" background="1" saveData="1">
    <webPr xl2000="1" url="http://finance.yahoo.com/q/is?s=MSFT+Income+Statement&amp;annual" htmlTables="1" htmlFormat="all"/>
  </connection>
  <connection id="104" name="Connection191" type="4" refreshedVersion="5" background="1" saveData="1">
    <webPr xl2000="1" url="http://finance.yahoo.com/q/bs?s=MSFT+Balance+Sheet&amp;annual" htmlTables="1" htmlFormat="all"/>
  </connection>
  <connection id="105" name="Connection192" type="4" refreshedVersion="5" background="1" saveData="1">
    <webPr xl2000="1" url="http://finance.yahoo.com/q?s=MSFT" htmlTables="1" htmlFormat="all"/>
  </connection>
  <connection id="106" name="Connection193" type="4" refreshedVersion="5" background="1" saveData="1">
    <webPr xl2000="1" url="http://finance.yahoo.com/q/cf?s=MSFT+Cash+Flow&amp;annual" htmlTables="1" htmlFormat="all"/>
  </connection>
  <connection id="107" name="Connection194" type="4" refreshedVersion="5" background="1" saveData="1">
    <webPr xl2000="1" url="http://finance.yahoo.com/q/ks?s=MSFT+Key+Statistics" htmlTables="1" htmlFormat="all"/>
  </connection>
  <connection id="108" name="Connection195" type="4" refreshedVersion="5" background="1" saveData="1">
    <webPr xl2000="1" url="http://finance.yahoo.com/bonds" htmlTables="1" htmlFormat="all"/>
  </connection>
  <connection id="109" name="Connection2" type="4" refreshedVersion="4" background="1" saveData="1">
    <webPr xl2000="1" url="http://finance.yahoo.com/q/bs?s=INTC+Balance+Sheet&amp;annual" htmlTables="1" htmlFormat="all"/>
  </connection>
  <connection id="110" name="Connection20" type="4" refreshedVersion="5" background="1" saveData="1">
    <webPr xl2000="1" url="http://finance.yahoo.com/q/is?s=YHOO+Income+Statement&amp;annual" htmlTables="1" htmlFormat="all"/>
  </connection>
  <connection id="111" name="Connection21" type="4" refreshedVersion="4" background="1" saveData="1">
    <webPr xl2000="1" url="http://finance.yahoo.com/bonds" htmlTables="1" htmlFormat="all"/>
  </connection>
  <connection id="112" name="Connection22" type="4" refreshedVersion="5" background="1" saveData="1">
    <webPr xl2000="1" url="http://finance.yahoo.com/q/cf?s=YHOO+Cash+Flow&amp;annual" htmlTables="1" htmlFormat="all"/>
  </connection>
  <connection id="113" name="Connection23" type="4" refreshedVersion="4" background="1" saveData="1">
    <webPr xl2000="1" url="http://finance.yahoo.com/q/bs?s=ANF+Balance+Sheet&amp;annual" htmlTables="1" htmlFormat="all"/>
  </connection>
  <connection id="114" name="Connection24" type="4" refreshedVersion="4" background="1" saveData="1">
    <webPr xl2000="1" url="http://finance.yahoo.com/q/bs?s=MRK+Balance+Sheet&amp;annual" htmlTables="1" htmlFormat="all"/>
  </connection>
  <connection id="115" name="Connection25" type="4" refreshedVersion="5" background="1" saveData="1">
    <webPr xl2000="1" url="http://finance.yahoo.com/q/is?s=AAL+Income+Statement&amp;annual" htmlTables="1" htmlFormat="all"/>
  </connection>
  <connection id="116" name="Connection26" type="4" refreshedVersion="5" background="1" saveData="1">
    <webPr xl2000="1" url="http://finance.yahoo.com/q/is?s=AAPL+Income+Statement&amp;annual" htmlTables="1" htmlFormat="all"/>
  </connection>
  <connection id="117" name="Connection27" type="4" refreshedVersion="0" background="1">
    <webPr url="http://finance.yahoo.com/q/bs?s=+Balance+Sheet&amp;annual" htmlTables="1" htmlFormat="all"/>
  </connection>
  <connection id="118" name="Connection28" type="4" refreshedVersion="4" background="1" saveData="1">
    <webPr xl2000="1" url="http://finance.yahoo.com/q/is?s=MRK+Income+Statement&amp;annual" htmlTables="1" htmlFormat="all"/>
  </connection>
  <connection id="119" name="Connection29" type="4" refreshedVersion="5" background="1" saveData="1">
    <webPr xl2000="1" url="http://finance.yahoo.com/bonds" htmlTables="1" htmlFormat="all"/>
  </connection>
  <connection id="120" name="Connection3" type="4" refreshedVersion="4" background="1" saveData="1">
    <webPr xl2000="1" url="http://finance.yahoo.com/q/cf?s=INTC+Cash+Flow&amp;annual" htmlTables="1" htmlFormat="all"/>
  </connection>
  <connection id="121" name="Connection30" type="4" refreshedVersion="5" background="1" saveData="1">
    <webPr xl2000="1" url="http://finance.yahoo.com/q/is?s=JNJ+Income+Statement&amp;annual" htmlTables="1" htmlFormat="all"/>
  </connection>
  <connection id="122" name="Connection31" type="4" refreshedVersion="4" background="1" saveData="1">
    <webPr xl2000="1" url="http://finance.yahoo.com/q?s=ANF" htmlTables="1" htmlFormat="all"/>
  </connection>
  <connection id="123" name="Connection32" type="4" refreshedVersion="5" background="1" saveData="1">
    <webPr xl2000="1" url="http://finance.yahoo.com/q/cf?s=JNJ+Cash+Flow&amp;annual" htmlTables="1" htmlFormat="all"/>
  </connection>
  <connection id="124" name="Connection33" type="4" refreshedVersion="4" background="1" saveData="1">
    <webPr xl2000="1" url="http://finance.yahoo.com/q?s=MRK" htmlTables="1" htmlFormat="all"/>
  </connection>
  <connection id="125" name="Connection34" type="4" refreshedVersion="5" background="1" saveData="1">
    <webPr xl2000="1" url="http://finance.yahoo.com/bonds" htmlTables="1" htmlFormat="all"/>
  </connection>
  <connection id="126" name="Connection35" type="4" refreshedVersion="5" background="1" saveData="1">
    <webPr xl2000="1" url="http://finance.yahoo.com/q/is?s=AAL+Income+Statement&amp;annual" htmlTables="1" htmlFormat="all"/>
  </connection>
  <connection id="127" name="Connection36" type="4" refreshedVersion="5" background="1" saveData="1">
    <webPr xl2000="1" url="http://finance.yahoo.com/q/bs?s=AAL+Balance+Sheet&amp;annual" htmlTables="1" htmlFormat="all"/>
  </connection>
  <connection id="128" name="Connection37" type="4" refreshedVersion="4" background="1" saveData="1">
    <webPr xl2000="1" url="http://finance.yahoo.com/q?s=MRK" htmlTables="1" htmlFormat="all"/>
  </connection>
  <connection id="129" name="Connection38" type="4" refreshedVersion="4" background="1" saveData="1">
    <webPr xl2000="1" url="http://finance.yahoo.com/q?s=MRK" htmlTables="1" htmlFormat="all"/>
  </connection>
  <connection id="130" name="Connection39" type="4" refreshedVersion="5" background="1" saveData="1">
    <webPr xl2000="1" url="http://finance.yahoo.com/bonds" htmlTables="1" htmlFormat="all"/>
  </connection>
  <connection id="131" name="Connection4" type="4" refreshedVersion="4" background="1" saveData="1">
    <webPr xl2000="1" url="http://finance.yahoo.com/q/is?s=MRK+Income+Statement&amp;annual" htmlTables="1" htmlFormat="all"/>
  </connection>
  <connection id="132" name="Connection40" type="4" refreshedVersion="4" background="1" saveData="1">
    <webPr xl2000="1" url="http://finance.yahoo.com/q/cf?s=MRK+Cash+Flow&amp;annual" htmlTables="1" htmlFormat="all"/>
  </connection>
  <connection id="133" name="Connection41" type="4" refreshedVersion="5" background="1" saveData="1">
    <webPr xl2000="1" url="http://finance.yahoo.com/q/is?s=+Income+Statement&amp;annual" htmlTables="1" htmlFormat="all"/>
  </connection>
  <connection id="134" name="Connection42" type="4" refreshedVersion="5" background="1" saveData="1">
    <webPr xl2000="1" url="http://finance.yahoo.com/q/cf?s=AAL+Cash+Flow&amp;annual" htmlTables="1" htmlFormat="all"/>
  </connection>
  <connection id="135" name="Connection43" type="4" refreshedVersion="5" background="1" saveData="1">
    <webPr xl2000="1" url="http://finance.yahoo.com/q/ks?s=AAL+Key+Statistics" htmlTables="1" htmlFormat="all"/>
  </connection>
  <connection id="136" name="Connection44" type="4" refreshedVersion="4" background="1" saveData="1">
    <webPr xl2000="1" url="http://finance.yahoo.com/q?s=MRK" htmlTables="1" htmlFormat="all"/>
  </connection>
  <connection id="137" name="Connection45" type="4" refreshedVersion="0" background="1">
    <webPr url="http://finance.yahoo.com/q/is?s=MRK+Income+Statement&amp;annual" htmlTables="1" htmlFormat="all"/>
  </connection>
  <connection id="138" name="Connection46" type="4" refreshedVersion="5" background="1" saveData="1">
    <webPr xl2000="1" url="http://finance.yahoo.com/q/bs?s=AAPL+Balance+Sheet&amp;annual" htmlTables="1" htmlFormat="all"/>
  </connection>
  <connection id="139" name="Connection47" type="4" refreshedVersion="4" background="1" saveData="1">
    <webPr xl2000="1" url="http://finance.yahoo.com/q/ks?s=MRK+Key+Statistics" htmlTables="1" htmlFormat="all"/>
  </connection>
  <connection id="140" name="Connection48" type="4" refreshedVersion="5" background="1" saveData="1">
    <webPr xl2000="1" url="http://finance.yahoo.com/q/ks?s=AAPL+Key+Statistics" htmlTables="1" htmlFormat="all"/>
  </connection>
  <connection id="141" name="Connection49" type="4" refreshedVersion="5" background="1" saveData="1">
    <webPr xl2000="1" url="http://finance.yahoo.com/bonds" htmlTables="1" htmlFormat="all"/>
  </connection>
  <connection id="142" name="Connection5" type="4" refreshedVersion="5" background="1" saveData="1">
    <webPr xl2000="1" url="http://finance.yahoo.com/q/is?s=YHOO+Income+Statement&amp;annual" htmlTables="1" htmlFormat="all"/>
  </connection>
  <connection id="143" name="Connection50" type="4" refreshedVersion="5" background="1" saveData="1">
    <webPr xl2000="1" url="http://finance.yahoo.com/q/is?s=AAPL+Income+Statement&amp;annual" htmlTables="1" htmlFormat="all"/>
  </connection>
  <connection id="144" name="Connection51" type="4" refreshedVersion="5" background="1" saveData="1">
    <webPr xl2000="1" url="http://finance.yahoo.com/q/bs?s=AAPL+Balance+Sheet&amp;annual" htmlTables="1" htmlFormat="all"/>
  </connection>
  <connection id="145" name="Connection52" type="4" refreshedVersion="5" background="1" saveData="1">
    <webPr xl2000="1" url="http://finance.yahoo.com/q/cf?s=AAPL+Cash+Flow&amp;annual" htmlTables="1" htmlFormat="all"/>
  </connection>
  <connection id="146" name="Connection53" type="4" refreshedVersion="5" background="1" saveData="1">
    <webPr xl2000="1" url="http://finance.yahoo.com/q?s=AAPL" htmlTables="1" htmlFormat="all"/>
  </connection>
  <connection id="147" name="Connection54" type="4" refreshedVersion="4" background="1" saveData="1">
    <webPr xl2000="1" url="http://finance.yahoo.com/q/is?s=MRK+Income+Statement&amp;annual" htmlTables="1" htmlFormat="all"/>
  </connection>
  <connection id="148" name="Connection55" type="4" refreshedVersion="5" background="1" saveData="1">
    <webPr xl2000="1" url="http://finance.yahoo.com/q/is?s=AAPL+Income+Statement&amp;annual" htmlTables="1" htmlFormat="all"/>
  </connection>
  <connection id="149" name="Connection56" type="4" refreshedVersion="4" background="1" saveData="1">
    <webPr xl2000="1" url="http://finance.yahoo.com/q?s=MRK" htmlTables="1" htmlFormat="all"/>
  </connection>
  <connection id="150" name="Connection57" type="4" refreshedVersion="5" background="1" saveData="1">
    <webPr xl2000="1" url="http://finance.yahoo.com/q?s=AAPL" htmlTables="1" htmlFormat="all"/>
  </connection>
  <connection id="151" name="Connection58" type="4" refreshedVersion="4" background="1" saveData="1">
    <webPr xl2000="1" url="http://finance.yahoo.com/q?s=MRK" htmlTables="1" htmlFormat="all"/>
  </connection>
  <connection id="152" name="Connection59" type="4" refreshedVersion="5" background="1" saveData="1">
    <webPr xl2000="1" url="http://finance.yahoo.com/q/ks?s=AAPL+Key+Statistics" htmlTables="1" htmlFormat="all"/>
  </connection>
  <connection id="153" name="Connection6" type="4" refreshedVersion="4" background="1" saveData="1">
    <webPr xl2000="1" url="http://finance.yahoo.com/q/is?s=ANF+Income+Statement&amp;annual" htmlTables="1" htmlFormat="all"/>
  </connection>
  <connection id="154" name="Connection60" type="4" refreshedVersion="5" background="1" saveData="1">
    <webPr xl2000="1" url="http://finance.yahoo.com/q/cf?s=AAPL+Cash+Flow&amp;annual" htmlTables="1" htmlFormat="all"/>
  </connection>
  <connection id="155" name="Connection61" type="4" refreshedVersion="4" background="1" saveData="1">
    <webPr xl2000="1" url="http://finance.yahoo.com/q?s=MRK" htmlTables="1" htmlFormat="all"/>
  </connection>
  <connection id="156" name="Connection62" type="4" refreshedVersion="0" background="1">
    <webPr url="http://finance.yahoo.com/q/bs?s=+Balance+Sheet&amp;annual" htmlTables="1" htmlFormat="all"/>
  </connection>
  <connection id="157" name="Connection63" type="4" refreshedVersion="4" background="1" saveData="1">
    <webPr xl2000="1" url="http://finance.yahoo.com/q?s=YHOO" htmlTables="1" htmlFormat="all"/>
  </connection>
  <connection id="158" name="Connection64" type="4" refreshedVersion="4" background="1" saveData="1">
    <webPr xl2000="1" url="http://finance.yahoo.com/q/bs?s=MRK+Balance+Sheet&amp;annual" htmlTables="1" htmlFormat="all"/>
  </connection>
  <connection id="159" name="Connection65" type="4" refreshedVersion="4" background="1" saveData="1">
    <webPr xl2000="1" url="http://finance.yahoo.com/q?s=MRK" htmlTables="1" htmlFormat="all"/>
  </connection>
  <connection id="160" name="Connection66" type="4" refreshedVersion="4" background="1" saveData="1">
    <webPr xl2000="1" url="http://finance.yahoo.com/q?s=YHOO" htmlTables="1" htmlFormat="all"/>
  </connection>
  <connection id="161" name="Connection67" type="4" refreshedVersion="4" background="1" saveData="1">
    <webPr xl2000="1" url="http://finance.yahoo.com/q?s=MRK" htmlTables="1" htmlFormat="all"/>
  </connection>
  <connection id="162" name="Connection68" type="4" refreshedVersion="4" background="1" saveData="1">
    <webPr xl2000="1" url="http://finance.yahoo.com/q/cf?s=MRK+Cash+Flow&amp;annual" htmlTables="1" htmlFormat="all"/>
  </connection>
  <connection id="163" name="Connection69" type="4" refreshedVersion="4" background="1" saveData="1">
    <webPr xl2000="1" url="http://finance.yahoo.com/q/ks?s=MRK+Key+Statistics" htmlTables="1" htmlFormat="all"/>
  </connection>
  <connection id="164" name="Connection7" type="4" refreshedVersion="4" background="1" saveData="1">
    <webPr xl2000="1" url="http://finance.yahoo.com/q/bs?s=MRK+Balance+Sheet&amp;annual" htmlTables="1" htmlFormat="all"/>
  </connection>
  <connection id="165" name="Connection70" type="4" refreshedVersion="4" background="1" saveData="1">
    <webPr xl2000="1" url="http://finance.yahoo.com/q/bs?s=MRK+Balance+Sheet&amp;annual" htmlTables="1" htmlFormat="all"/>
  </connection>
  <connection id="166" name="Connection71" type="4" refreshedVersion="4" background="1" saveData="1">
    <webPr xl2000="1" url="http://finance.yahoo.com/q/is?s=MRK+Income+Statement&amp;annual" htmlTables="1" htmlFormat="all"/>
  </connection>
  <connection id="167" name="Connection72" type="4" refreshedVersion="4" background="1" saveData="1">
    <webPr xl2000="1" url="http://finance.yahoo.com/q/bs?s=MRK+Balance+Sheet&amp;annual" htmlTables="1" htmlFormat="all"/>
  </connection>
  <connection id="168" name="Connection73" type="4" refreshedVersion="4" background="1" saveData="1">
    <webPr xl2000="1" url="http://finance.yahoo.com/q?s=AAPL" htmlTables="1" htmlFormat="all"/>
  </connection>
  <connection id="169" name="Connection74" type="4" refreshedVersion="4" background="1" saveData="1">
    <webPr xl2000="1" url="http://finance.yahoo.com/q?s=MRK" htmlTables="1" htmlFormat="all"/>
  </connection>
  <connection id="170" name="Connection75" type="4" refreshedVersion="4" background="1" saveData="1">
    <webPr xl2000="1" url="http://finance.yahoo.com/q?s=MRK" htmlTables="1" htmlFormat="all"/>
  </connection>
  <connection id="171" name="Connection76" type="4" refreshedVersion="4" background="1" saveData="1">
    <webPr xl2000="1" url="http://finance.yahoo.com/q/cf?s=MRK+Cash+Flow&amp;annual" htmlTables="1" htmlFormat="all"/>
  </connection>
  <connection id="172" name="Connection77" type="4" refreshedVersion="4" background="1" saveData="1">
    <webPr xl2000="1" url="http://finance.yahoo.com/q/ks?s=MRK+Key+Statistics" htmlTables="1" htmlFormat="all"/>
  </connection>
  <connection id="173" name="Connection78" type="4" refreshedVersion="4" background="1" saveData="1">
    <webPr xl2000="1" url="http://finance.yahoo.com/bonds" htmlTables="1" htmlFormat="all"/>
  </connection>
  <connection id="174" name="Connection79" type="4" refreshedVersion="4" background="1" saveData="1">
    <webPr xl2000="1" url="http://finance.yahoo.com/q/is?s=MRK+Income+Statement&amp;annual" htmlTables="1" htmlFormat="all"/>
  </connection>
  <connection id="175" name="Connection8" type="4" refreshedVersion="4" background="1" saveData="1">
    <webPr xl2000="1" url="http://finance.yahoo.com/q?s=MRK" htmlTables="1" htmlFormat="all"/>
  </connection>
  <connection id="176" name="Connection80" type="4" refreshedVersion="4" background="1" saveData="1">
    <webPr xl2000="1" url="http://finance.yahoo.com/q?s=MRK" htmlTables="1" htmlFormat="all"/>
  </connection>
  <connection id="177" name="Connection81" type="4" refreshedVersion="4" background="1" saveData="1">
    <webPr xl2000="1" url="http://finance.yahoo.com/q?s=MRK" htmlTables="1" htmlFormat="all"/>
  </connection>
  <connection id="178" name="Connection82" type="4" refreshedVersion="4" background="1" saveData="1">
    <webPr xl2000="1" url="http://finance.yahoo.com/bonds" htmlTables="1" htmlFormat="all"/>
  </connection>
  <connection id="179" name="Connection83" type="4" refreshedVersion="4" background="1" saveData="1">
    <webPr xl2000="1" url="http://finance.yahoo.com/q/is?s=ANF+Income+Statement&amp;annual" htmlTables="1" htmlFormat="all"/>
  </connection>
  <connection id="180" name="Connection84" type="4" refreshedVersion="4" background="1" saveData="1">
    <webPr xl2000="1" url="http://finance.yahoo.com/bonds" htmlTables="1" htmlFormat="all"/>
  </connection>
  <connection id="181" name="Connection85" type="4" refreshedVersion="4" background="1" saveData="1">
    <webPr xl2000="1" url="http://finance.yahoo.com/q/is?s=MRK+Income+Statement&amp;annual" htmlTables="1" htmlFormat="all"/>
  </connection>
  <connection id="182" name="Connection86" type="4" refreshedVersion="4" background="1" saveData="1">
    <webPr xl2000="1" url="http://finance.yahoo.com/q/bs?s=MRK+Balance+Sheet&amp;annual" htmlTables="1" htmlFormat="all"/>
  </connection>
  <connection id="183" name="Connection87" type="4" refreshedVersion="4" background="1" saveData="1">
    <webPr xl2000="1" url="http://finance.yahoo.com/q?s=MRK" htmlTables="1" htmlFormat="all"/>
  </connection>
  <connection id="184" name="Connection88" type="4" refreshedVersion="4" background="1" saveData="1">
    <webPr xl2000="1" url="http://finance.yahoo.com/q/cf?s=MRK+Cash+Flow&amp;annual" htmlTables="1" htmlFormat="all"/>
  </connection>
  <connection id="185" name="Connection89" type="4" refreshedVersion="4" background="1" saveData="1">
    <webPr xl2000="1" url="http://finance.yahoo.com/q/ks?s=MRK+Key+Statistics" htmlTables="1" htmlFormat="all"/>
  </connection>
  <connection id="186" name="Connection9" type="4" refreshedVersion="4" background="1" saveData="1">
    <webPr xl2000="1" url="http://finance.yahoo.com/q/cf?s=MRK+Cash+Flow&amp;annual" htmlTables="1" htmlFormat="all"/>
  </connection>
  <connection id="187" name="Connection90" type="4" refreshedVersion="4" background="1" saveData="1">
    <webPr xl2000="1" url="http://finance.yahoo.com/bonds" htmlTables="1" htmlFormat="all"/>
  </connection>
  <connection id="188" name="Connection91" type="4" refreshedVersion="4" background="1" saveData="1">
    <webPr xl2000="1" url="http://finance.yahoo.com/q/is?s=MRK+Income+Statement&amp;annual" htmlTables="1" htmlFormat="all"/>
  </connection>
  <connection id="189" name="Connection92" type="4" refreshedVersion="4" background="1" saveData="1">
    <webPr xl2000="1" url="http://finance.yahoo.com/q/bs?s=MRK+Balance+Sheet&amp;annual" htmlTables="1" htmlFormat="all"/>
  </connection>
  <connection id="190" name="Connection93" type="4" refreshedVersion="4" background="1" saveData="1">
    <webPr xl2000="1" url="http://finance.yahoo.com/q?s=MRK" htmlTables="1" htmlFormat="all"/>
  </connection>
  <connection id="191" name="Connection94" type="4" refreshedVersion="4" background="1" saveData="1">
    <webPr xl2000="1" url="http://finance.yahoo.com/q/cf?s=MRK+Cash+Flow&amp;annual" htmlTables="1" htmlFormat="all"/>
  </connection>
  <connection id="192" name="Connection95" type="4" refreshedVersion="4" background="1" saveData="1">
    <webPr xl2000="1" url="http://finance.yahoo.com/q/ks?s=MRK+Key+Statistics" htmlTables="1" htmlFormat="all"/>
  </connection>
  <connection id="193" name="Connection96" type="4" refreshedVersion="4" background="1" saveData="1">
    <webPr xl2000="1" url="http://finance.yahoo.com/bonds" htmlTables="1" htmlFormat="all"/>
  </connection>
  <connection id="194" name="Connection97" type="4" refreshedVersion="4" background="1" saveData="1">
    <webPr xl2000="1" url="http://finance.yahoo.com/q/is?s=+Income+Statement&amp;annual" htmlTables="1" htmlFormat="all"/>
  </connection>
  <connection id="195" name="Connection98" type="4" refreshedVersion="0" background="1">
    <webPr url="http://finance.yahoo.com/q/bs?s=+Balance+Sheet&amp;annual" htmlTables="1" htmlFormat="all"/>
  </connection>
  <connection id="196" name="Connection99" type="4" refreshedVersion="4" background="1" saveData="1">
    <webPr xl2000="1" url="http://finance.yahoo.com/q?s=MRK" htmlTables="1" htmlFormat="all"/>
  </connection>
</connections>
</file>

<file path=xl/sharedStrings.xml><?xml version="1.0" encoding="utf-8"?>
<sst xmlns="http://schemas.openxmlformats.org/spreadsheetml/2006/main" count="500" uniqueCount="347">
  <si>
    <t>Revenue</t>
  </si>
  <si>
    <t>Tax Rate</t>
  </si>
  <si>
    <t>Operating Income</t>
  </si>
  <si>
    <t>Income Before Tax</t>
  </si>
  <si>
    <t>Interest Expense</t>
  </si>
  <si>
    <t>Income Tax Expense</t>
  </si>
  <si>
    <t>Net Income</t>
  </si>
  <si>
    <t>Growth</t>
  </si>
  <si>
    <t>2012A</t>
  </si>
  <si>
    <t>2013A</t>
  </si>
  <si>
    <t>2014E</t>
  </si>
  <si>
    <t>2015E</t>
  </si>
  <si>
    <t>2016E</t>
  </si>
  <si>
    <t>2017E</t>
  </si>
  <si>
    <t>2018E</t>
  </si>
  <si>
    <t>Income Statement</t>
  </si>
  <si>
    <t>2011A</t>
  </si>
  <si>
    <t>% Sales</t>
  </si>
  <si>
    <t>Accounts Recievable</t>
  </si>
  <si>
    <t>Inventory</t>
  </si>
  <si>
    <t>Accounts Payable</t>
  </si>
  <si>
    <t>Change In Net Working Capital</t>
  </si>
  <si>
    <t>Change in Net working Capital</t>
  </si>
  <si>
    <t>Net Working Capital</t>
  </si>
  <si>
    <t>Cost Of Goods Sold</t>
  </si>
  <si>
    <t>% COGS</t>
  </si>
  <si>
    <t xml:space="preserve">Capex Schedule </t>
  </si>
  <si>
    <t>% EBIT</t>
  </si>
  <si>
    <t>Depreciation</t>
  </si>
  <si>
    <t>Capital Expenditures</t>
  </si>
  <si>
    <t>% Capex</t>
  </si>
  <si>
    <t>Free Cash Flow</t>
  </si>
  <si>
    <t>WACC</t>
  </si>
  <si>
    <t>Number Of Shares Outstanding</t>
  </si>
  <si>
    <t>CAPM</t>
  </si>
  <si>
    <t>Cost Of Debt</t>
  </si>
  <si>
    <t>Beta</t>
  </si>
  <si>
    <t>Risk Free Rate</t>
  </si>
  <si>
    <t>Interest Rate on Debt</t>
  </si>
  <si>
    <t>Expected Market Return</t>
  </si>
  <si>
    <t>Cost Of Equity</t>
  </si>
  <si>
    <t>Capital Structure</t>
  </si>
  <si>
    <t>Weighted Average Cost of Capital</t>
  </si>
  <si>
    <t>Market Capitalization</t>
  </si>
  <si>
    <t>Cost of Debt</t>
  </si>
  <si>
    <t>% Equity</t>
  </si>
  <si>
    <t>Percentage Debt</t>
  </si>
  <si>
    <t>Debt Outstanding</t>
  </si>
  <si>
    <t>Cost of Equity</t>
  </si>
  <si>
    <t>% Debt</t>
  </si>
  <si>
    <t>Percentage Equity</t>
  </si>
  <si>
    <t>Total Capitalization</t>
  </si>
  <si>
    <t>Discounted Free Cash Flow</t>
  </si>
  <si>
    <t>Expected Equity Return</t>
  </si>
  <si>
    <t>PV Discounted Free Cash Flows</t>
  </si>
  <si>
    <t>Terminal Value</t>
  </si>
  <si>
    <t>Gordon Growth</t>
  </si>
  <si>
    <t>Multiples Method</t>
  </si>
  <si>
    <t>Perpetual Growth Rate</t>
  </si>
  <si>
    <t>Year 5 FCFF</t>
  </si>
  <si>
    <t>Year 5 EBITDA</t>
  </si>
  <si>
    <t>EBITDA Multiple</t>
  </si>
  <si>
    <t>Equity Value</t>
  </si>
  <si>
    <t>Discount Rate</t>
  </si>
  <si>
    <t>Share Price</t>
  </si>
  <si>
    <t>Shares Outstanding</t>
  </si>
  <si>
    <t>Earnings Before Interest Taxes</t>
  </si>
  <si>
    <t>Net Operating Profit After Tax</t>
  </si>
  <si>
    <t>Plus: Depreciation</t>
  </si>
  <si>
    <t>Less: Capital Expenditures</t>
  </si>
  <si>
    <t>Less: Net Change in Working Capital</t>
  </si>
  <si>
    <t>Enter Ticker:</t>
  </si>
  <si>
    <t>Step 3: Calculate Price Per Share</t>
  </si>
  <si>
    <t>Tax Rate%</t>
  </si>
  <si>
    <t>Sensitivity Analysis</t>
  </si>
  <si>
    <t>Stock Price(previous close)</t>
  </si>
  <si>
    <t>Step 1: Project Free Cash Flow Calculation</t>
  </si>
  <si>
    <t>Step 2: Calculate Weighted Average Cost of Capital</t>
  </si>
  <si>
    <t>Search Finance</t>
  </si>
  <si>
    <t>Search Web</t>
  </si>
  <si>
    <t>Prev Close:</t>
  </si>
  <si>
    <t>Open:</t>
  </si>
  <si>
    <t>Bid:</t>
  </si>
  <si>
    <t>Ask:</t>
  </si>
  <si>
    <t>1y Target Est:</t>
  </si>
  <si>
    <t>Beta:</t>
  </si>
  <si>
    <t>Day's Range:</t>
  </si>
  <si>
    <t>52wk Range:</t>
  </si>
  <si>
    <t>Volume:</t>
  </si>
  <si>
    <t>Avg Vol (3m):</t>
  </si>
  <si>
    <t>Market Cap:</t>
  </si>
  <si>
    <t>P/E (ttm):</t>
  </si>
  <si>
    <t>EPS (ttm):</t>
  </si>
  <si>
    <t>Div &amp; Yield:</t>
  </si>
  <si>
    <t>Symbol</t>
  </si>
  <si>
    <t>% Chg</t>
  </si>
  <si>
    <t>Mkt Cap</t>
  </si>
  <si>
    <r>
      <t xml:space="preserve">Forward P/E </t>
    </r>
    <r>
      <rPr>
        <b/>
        <sz val="7.5"/>
        <color theme="1"/>
        <rFont val="Calibri"/>
        <family val="2"/>
        <scheme val="minor"/>
      </rPr>
      <t>(1 yr)</t>
    </r>
    <r>
      <rPr>
        <b/>
        <sz val="10"/>
        <color theme="1"/>
        <rFont val="Calibri"/>
        <family val="2"/>
        <scheme val="minor"/>
      </rPr>
      <t>:</t>
    </r>
  </si>
  <si>
    <r>
      <t xml:space="preserve">P/S </t>
    </r>
    <r>
      <rPr>
        <b/>
        <sz val="7.5"/>
        <color theme="1"/>
        <rFont val="Calibri"/>
        <family val="2"/>
        <scheme val="minor"/>
      </rPr>
      <t>(ttm)</t>
    </r>
    <r>
      <rPr>
        <b/>
        <sz val="10"/>
        <color theme="1"/>
        <rFont val="Calibri"/>
        <family val="2"/>
        <scheme val="minor"/>
      </rPr>
      <t>:</t>
    </r>
  </si>
  <si>
    <t>Ex-Dividend Date:</t>
  </si>
  <si>
    <r>
      <t>Quarterly EPS Est</t>
    </r>
    <r>
      <rPr>
        <b/>
        <sz val="7.5"/>
        <color theme="1"/>
        <rFont val="Calibri"/>
        <family val="2"/>
        <scheme val="minor"/>
      </rPr>
      <t xml:space="preserve"> (Dec-14) </t>
    </r>
    <r>
      <rPr>
        <b/>
        <sz val="10"/>
        <color theme="1"/>
        <rFont val="Calibri"/>
        <family val="2"/>
        <scheme val="minor"/>
      </rPr>
      <t>:</t>
    </r>
  </si>
  <si>
    <t>Mean Recommendation*:</t>
  </si>
  <si>
    <r>
      <t xml:space="preserve">PEG Ratio </t>
    </r>
    <r>
      <rPr>
        <b/>
        <sz val="7.5"/>
        <color theme="1"/>
        <rFont val="Calibri"/>
        <family val="2"/>
        <scheme val="minor"/>
      </rPr>
      <t>(5 yr expected)</t>
    </r>
    <r>
      <rPr>
        <b/>
        <sz val="10"/>
        <color theme="1"/>
        <rFont val="Calibri"/>
        <family val="2"/>
        <scheme val="minor"/>
      </rPr>
      <t>:</t>
    </r>
  </si>
  <si>
    <t>Multiple</t>
  </si>
  <si>
    <t>Company</t>
  </si>
  <si>
    <t>Number of stocks looked up this session</t>
  </si>
  <si>
    <t>Sensitivty Chart Comparisons</t>
  </si>
  <si>
    <t>Comparison Tracker</t>
  </si>
  <si>
    <t>Number of Stocks for comparison</t>
  </si>
  <si>
    <t xml:space="preserve">List of Stocks Looked Up </t>
  </si>
  <si>
    <r>
      <t>Get Income Statement for:</t>
    </r>
    <r>
      <rPr>
        <sz val="7.5"/>
        <color theme="1"/>
        <rFont val="Calibri"/>
        <family val="2"/>
        <scheme val="minor"/>
      </rPr>
      <t xml:space="preserve"> </t>
    </r>
  </si>
  <si>
    <t>View: Annual Data | Quarterly Data</t>
  </si>
  <si>
    <t>All numbers in thousands</t>
  </si>
  <si>
    <t>Period Ending</t>
  </si>
  <si>
    <t xml:space="preserve">Total Revenue </t>
  </si>
  <si>
    <t>Cost of Revenue</t>
  </si>
  <si>
    <t xml:space="preserve">Gross Profit </t>
  </si>
  <si>
    <t>Operating Expenses</t>
  </si>
  <si>
    <t>Research Development</t>
  </si>
  <si>
    <t xml:space="preserve">-  </t>
  </si>
  <si>
    <t>Selling General and Administrative</t>
  </si>
  <si>
    <t>Non Recurring</t>
  </si>
  <si>
    <t>Others</t>
  </si>
  <si>
    <t>Total Operating Expenses</t>
  </si>
  <si>
    <t xml:space="preserve">Operating Income or Loss </t>
  </si>
  <si>
    <t>Income from Continuing Operations</t>
  </si>
  <si>
    <t>Total Other Income/Expenses Net</t>
  </si>
  <si>
    <t>Earnings Before Interest And Taxes</t>
  </si>
  <si>
    <t>Minority Interest</t>
  </si>
  <si>
    <t>Net Income From Continuing Ops</t>
  </si>
  <si>
    <t>Non-recurring Events</t>
  </si>
  <si>
    <t>Discontinued Operations</t>
  </si>
  <si>
    <t>Extraordinary Items</t>
  </si>
  <si>
    <t>Effect Of Accounting Changes</t>
  </si>
  <si>
    <t>Other Items</t>
  </si>
  <si>
    <t xml:space="preserve">Net Income </t>
  </si>
  <si>
    <t>Preferred Stock And Other Adjustments</t>
  </si>
  <si>
    <t xml:space="preserve">Net Income Applicable To Common Shares </t>
  </si>
  <si>
    <t>Sign Up for a Free Trial to EDGAR Online Premium!</t>
  </si>
  <si>
    <t>Get the critical business and financial information you need for more than 15,000 U.S. public companies.</t>
  </si>
  <si>
    <t>Sign Up Now - Learn More</t>
  </si>
  <si>
    <t>Currency in USD.</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</si>
  <si>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</si>
  <si>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</si>
  <si>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US Financials data provided by Edgar Online and all other Financials provided by Capital IQ.</t>
  </si>
  <si>
    <t>Balance Sheet</t>
  </si>
  <si>
    <r>
      <t>Get Balance Sheet for:</t>
    </r>
    <r>
      <rPr>
        <sz val="7.5"/>
        <color theme="1"/>
        <rFont val="Calibri"/>
        <family val="2"/>
        <scheme val="minor"/>
      </rPr>
      <t xml:space="preserve"> </t>
    </r>
  </si>
  <si>
    <t>Assets</t>
  </si>
  <si>
    <t>Current Assets</t>
  </si>
  <si>
    <t>Cash And Cash Equivalents</t>
  </si>
  <si>
    <t>Short Term Investments</t>
  </si>
  <si>
    <t>Net Receivables</t>
  </si>
  <si>
    <t>Other Current Assets</t>
  </si>
  <si>
    <t xml:space="preserve">Total Current Assets </t>
  </si>
  <si>
    <t>Long Term Investments</t>
  </si>
  <si>
    <t>Property Plant and Equipment</t>
  </si>
  <si>
    <t>Goodwill</t>
  </si>
  <si>
    <t>Intangible Assets</t>
  </si>
  <si>
    <t>Accumulated Amortization</t>
  </si>
  <si>
    <t>Other Assets</t>
  </si>
  <si>
    <t>Deferred Long Term Asset Charges</t>
  </si>
  <si>
    <t xml:space="preserve">Total Assets </t>
  </si>
  <si>
    <t>Liabilities</t>
  </si>
  <si>
    <t>Current Liabilities</t>
  </si>
  <si>
    <t>Short/Current Long Term Debt</t>
  </si>
  <si>
    <t>Other Current Liabilities</t>
  </si>
  <si>
    <t xml:space="preserve">Total Current Liabilities </t>
  </si>
  <si>
    <t>Long Term Debt</t>
  </si>
  <si>
    <t>Other Liabilities</t>
  </si>
  <si>
    <t>Deferred Long Term Liability Charges</t>
  </si>
  <si>
    <t>Negative Goodwill</t>
  </si>
  <si>
    <t xml:space="preserve">Total Liabilities </t>
  </si>
  <si>
    <t>Stockholders' Equity</t>
  </si>
  <si>
    <t>Misc Stocks Options Warrants</t>
  </si>
  <si>
    <t>Redeemable Preferred Stock</t>
  </si>
  <si>
    <t>Preferred Stock</t>
  </si>
  <si>
    <t>Common Stock</t>
  </si>
  <si>
    <t>Retained Earnings</t>
  </si>
  <si>
    <t>Treasury Stock</t>
  </si>
  <si>
    <t>Capital Surplus</t>
  </si>
  <si>
    <t>Other Stockholder Equity</t>
  </si>
  <si>
    <t xml:space="preserve">Total Stockholder Equity </t>
  </si>
  <si>
    <t xml:space="preserve">Net Tangible Assets </t>
  </si>
  <si>
    <t>Cash Flow</t>
  </si>
  <si>
    <r>
      <t>Get Cash Flow for:</t>
    </r>
    <r>
      <rPr>
        <sz val="7.5"/>
        <color theme="1"/>
        <rFont val="Calibri"/>
        <family val="2"/>
        <scheme val="minor"/>
      </rPr>
      <t xml:space="preserve"> </t>
    </r>
  </si>
  <si>
    <t>Operating Activities, Cash Flows Provided By or Used In</t>
  </si>
  <si>
    <t>Adjustments To Net Income</t>
  </si>
  <si>
    <t>Changes In Accounts Receivables</t>
  </si>
  <si>
    <t>Changes In Liabilities</t>
  </si>
  <si>
    <t>Changes In Inventories</t>
  </si>
  <si>
    <t>Changes In Other Operating Activities</t>
  </si>
  <si>
    <t xml:space="preserve">Total Cash Flow From Operating Activities </t>
  </si>
  <si>
    <t>Investing Activities, Cash Flows Provided By or Used In</t>
  </si>
  <si>
    <t>Investments</t>
  </si>
  <si>
    <t>Other Cash flows from Investing Activities</t>
  </si>
  <si>
    <t xml:space="preserve">Total Cash Flows From Investing Activities </t>
  </si>
  <si>
    <t>Financing Activities, Cash Flows Provided By or Used In</t>
  </si>
  <si>
    <t>Dividends Paid</t>
  </si>
  <si>
    <t>Sale Purchase of Stock</t>
  </si>
  <si>
    <t>Net Borrowings</t>
  </si>
  <si>
    <t>Other Cash Flows from Financing Activities</t>
  </si>
  <si>
    <t xml:space="preserve">Total Cash Flows From Financing Activities </t>
  </si>
  <si>
    <t>Effect Of Exchange Rate Changes</t>
  </si>
  <si>
    <t xml:space="preserve">Change In Cash and Cash Equivalents </t>
  </si>
  <si>
    <t>Key Statistics</t>
  </si>
  <si>
    <r>
      <t>Get Key Statistics for:</t>
    </r>
    <r>
      <rPr>
        <sz val="7.5"/>
        <color theme="1"/>
        <rFont val="Calibri"/>
        <family val="2"/>
        <scheme val="minor"/>
      </rPr>
      <t xml:space="preserve"> </t>
    </r>
  </si>
  <si>
    <t>Data provided by Capital IQ, except where noted.</t>
  </si>
  <si>
    <t>Valuation Measures</t>
  </si>
  <si>
    <r>
      <t>Market Cap (intraday)</t>
    </r>
    <r>
      <rPr>
        <vertAlign val="superscript"/>
        <sz val="7.5"/>
        <color theme="1"/>
        <rFont val="Calibri"/>
        <family val="2"/>
        <scheme val="minor"/>
      </rPr>
      <t>5</t>
    </r>
    <r>
      <rPr>
        <sz val="10"/>
        <color theme="1"/>
        <rFont val="Calibri"/>
        <family val="2"/>
        <scheme val="minor"/>
      </rPr>
      <t>:</t>
    </r>
  </si>
  <si>
    <t>Trailing P/E (ttm, intraday):</t>
  </si>
  <si>
    <r>
      <t>PEG Ratio (5 yr expected)</t>
    </r>
    <r>
      <rPr>
        <vertAlign val="superscript"/>
        <sz val="7.5"/>
        <color theme="1"/>
        <rFont val="Calibri"/>
        <family val="2"/>
        <scheme val="minor"/>
      </rPr>
      <t>1</t>
    </r>
    <r>
      <rPr>
        <sz val="10"/>
        <color theme="1"/>
        <rFont val="Calibri"/>
        <family val="2"/>
        <scheme val="minor"/>
      </rPr>
      <t>:</t>
    </r>
  </si>
  <si>
    <t>Price/Sales (ttm):</t>
  </si>
  <si>
    <t>Price/Book (mrq):</t>
  </si>
  <si>
    <r>
      <t>Enterprise Value/Revenue (ttm)</t>
    </r>
    <r>
      <rPr>
        <vertAlign val="superscript"/>
        <sz val="7.5"/>
        <color theme="1"/>
        <rFont val="Calibri"/>
        <family val="2"/>
        <scheme val="minor"/>
      </rPr>
      <t>3</t>
    </r>
    <r>
      <rPr>
        <sz val="10"/>
        <color theme="1"/>
        <rFont val="Calibri"/>
        <family val="2"/>
        <scheme val="minor"/>
      </rPr>
      <t>:</t>
    </r>
  </si>
  <si>
    <r>
      <t>Enterprise Value/EBITDA (ttm)</t>
    </r>
    <r>
      <rPr>
        <vertAlign val="superscript"/>
        <sz val="7.5"/>
        <color theme="1"/>
        <rFont val="Calibri"/>
        <family val="2"/>
        <scheme val="minor"/>
      </rPr>
      <t>6</t>
    </r>
    <r>
      <rPr>
        <sz val="10"/>
        <color theme="1"/>
        <rFont val="Calibri"/>
        <family val="2"/>
        <scheme val="minor"/>
      </rPr>
      <t>:</t>
    </r>
  </si>
  <si>
    <t>Financial Highlights</t>
  </si>
  <si>
    <t>Fiscal Year</t>
  </si>
  <si>
    <t>Fiscal Year Ends:</t>
  </si>
  <si>
    <t>Most Recent Quarter (mrq):</t>
  </si>
  <si>
    <t>Profitability</t>
  </si>
  <si>
    <t>Profit Margin (ttm):</t>
  </si>
  <si>
    <t>Operating Margin (ttm):</t>
  </si>
  <si>
    <t>Management Effectiveness</t>
  </si>
  <si>
    <t>Return on Assets (ttm):</t>
  </si>
  <si>
    <t>Return on Equity (ttm):</t>
  </si>
  <si>
    <t>Revenue (ttm):</t>
  </si>
  <si>
    <t>Revenue Per Share (ttm):</t>
  </si>
  <si>
    <t>Qtrly Revenue Growth (yoy):</t>
  </si>
  <si>
    <t>Gross Profit (ttm):</t>
  </si>
  <si>
    <r>
      <t>EBITDA (ttm)</t>
    </r>
    <r>
      <rPr>
        <vertAlign val="superscript"/>
        <sz val="7.5"/>
        <color theme="1"/>
        <rFont val="Calibri"/>
        <family val="2"/>
        <scheme val="minor"/>
      </rPr>
      <t>6</t>
    </r>
    <r>
      <rPr>
        <sz val="10"/>
        <color theme="1"/>
        <rFont val="Calibri"/>
        <family val="2"/>
        <scheme val="minor"/>
      </rPr>
      <t>:</t>
    </r>
  </si>
  <si>
    <t>Net Income Avl to Common (ttm):</t>
  </si>
  <si>
    <t>Diluted EPS (ttm):</t>
  </si>
  <si>
    <t>Qtrly Earnings Growth (yoy):</t>
  </si>
  <si>
    <t>Total Cash (mrq):</t>
  </si>
  <si>
    <t>Total Cash Per Share (mrq):</t>
  </si>
  <si>
    <t>Total Debt (mrq):</t>
  </si>
  <si>
    <t>Total Debt/Equity (mrq):</t>
  </si>
  <si>
    <t>Current Ratio (mrq):</t>
  </si>
  <si>
    <t>Book Value Per Share (mrq):</t>
  </si>
  <si>
    <t>Cash Flow Statement</t>
  </si>
  <si>
    <t>Operating Cash Flow (ttm):</t>
  </si>
  <si>
    <t>Levered Free Cash Flow (ttm):</t>
  </si>
  <si>
    <t>View Financials</t>
  </si>
  <si>
    <t>Income Statement - Balance Sheet - Cash Flow</t>
  </si>
  <si>
    <t>Trading Information</t>
  </si>
  <si>
    <t>Stock Price History</t>
  </si>
  <si>
    <r>
      <t>52-Week Change</t>
    </r>
    <r>
      <rPr>
        <vertAlign val="superscript"/>
        <sz val="7.5"/>
        <color theme="1"/>
        <rFont val="Calibri"/>
        <family val="2"/>
        <scheme val="minor"/>
      </rPr>
      <t>3</t>
    </r>
    <r>
      <rPr>
        <sz val="10"/>
        <color theme="1"/>
        <rFont val="Calibri"/>
        <family val="2"/>
        <scheme val="minor"/>
      </rPr>
      <t>:</t>
    </r>
  </si>
  <si>
    <r>
      <t>S&amp;P500 52-Week Change</t>
    </r>
    <r>
      <rPr>
        <vertAlign val="superscript"/>
        <sz val="7.5"/>
        <color theme="1"/>
        <rFont val="Calibri"/>
        <family val="2"/>
        <scheme val="minor"/>
      </rPr>
      <t>3</t>
    </r>
    <r>
      <rPr>
        <sz val="10"/>
        <color theme="1"/>
        <rFont val="Calibri"/>
        <family val="2"/>
        <scheme val="minor"/>
      </rPr>
      <t>:</t>
    </r>
  </si>
  <si>
    <r>
      <t>50-Day Moving Average</t>
    </r>
    <r>
      <rPr>
        <vertAlign val="superscript"/>
        <sz val="7.5"/>
        <color theme="1"/>
        <rFont val="Calibri"/>
        <family val="2"/>
        <scheme val="minor"/>
      </rPr>
      <t>3</t>
    </r>
    <r>
      <rPr>
        <sz val="10"/>
        <color theme="1"/>
        <rFont val="Calibri"/>
        <family val="2"/>
        <scheme val="minor"/>
      </rPr>
      <t>:</t>
    </r>
  </si>
  <si>
    <r>
      <t>200-Day Moving Average</t>
    </r>
    <r>
      <rPr>
        <vertAlign val="superscript"/>
        <sz val="7.5"/>
        <color theme="1"/>
        <rFont val="Calibri"/>
        <family val="2"/>
        <scheme val="minor"/>
      </rPr>
      <t>3</t>
    </r>
    <r>
      <rPr>
        <sz val="10"/>
        <color theme="1"/>
        <rFont val="Calibri"/>
        <family val="2"/>
        <scheme val="minor"/>
      </rPr>
      <t>:</t>
    </r>
  </si>
  <si>
    <t>Share Statistics</t>
  </si>
  <si>
    <r>
      <t>Avg Vol (3 month)</t>
    </r>
    <r>
      <rPr>
        <vertAlign val="superscript"/>
        <sz val="7.5"/>
        <color theme="1"/>
        <rFont val="Calibri"/>
        <family val="2"/>
        <scheme val="minor"/>
      </rPr>
      <t>3</t>
    </r>
    <r>
      <rPr>
        <sz val="10"/>
        <color theme="1"/>
        <rFont val="Calibri"/>
        <family val="2"/>
        <scheme val="minor"/>
      </rPr>
      <t>:</t>
    </r>
  </si>
  <si>
    <r>
      <t>Avg Vol (10 day)</t>
    </r>
    <r>
      <rPr>
        <vertAlign val="superscript"/>
        <sz val="7.5"/>
        <color theme="1"/>
        <rFont val="Calibri"/>
        <family val="2"/>
        <scheme val="minor"/>
      </rPr>
      <t>3</t>
    </r>
    <r>
      <rPr>
        <sz val="10"/>
        <color theme="1"/>
        <rFont val="Calibri"/>
        <family val="2"/>
        <scheme val="minor"/>
      </rPr>
      <t>:</t>
    </r>
  </si>
  <si>
    <r>
      <t>Shares Outstanding</t>
    </r>
    <r>
      <rPr>
        <vertAlign val="superscript"/>
        <sz val="7.5"/>
        <color theme="1"/>
        <rFont val="Calibri"/>
        <family val="2"/>
        <scheme val="minor"/>
      </rPr>
      <t>5</t>
    </r>
    <r>
      <rPr>
        <sz val="10"/>
        <color theme="1"/>
        <rFont val="Calibri"/>
        <family val="2"/>
        <scheme val="minor"/>
      </rPr>
      <t>:</t>
    </r>
  </si>
  <si>
    <t>Float:</t>
  </si>
  <si>
    <r>
      <t>% Held by Insiders</t>
    </r>
    <r>
      <rPr>
        <vertAlign val="superscript"/>
        <sz val="7.5"/>
        <color theme="1"/>
        <rFont val="Calibri"/>
        <family val="2"/>
        <scheme val="minor"/>
      </rPr>
      <t>1</t>
    </r>
    <r>
      <rPr>
        <sz val="10"/>
        <color theme="1"/>
        <rFont val="Calibri"/>
        <family val="2"/>
        <scheme val="minor"/>
      </rPr>
      <t>:</t>
    </r>
  </si>
  <si>
    <r>
      <t>% Held by Institutions</t>
    </r>
    <r>
      <rPr>
        <vertAlign val="superscript"/>
        <sz val="7.5"/>
        <color theme="1"/>
        <rFont val="Calibri"/>
        <family val="2"/>
        <scheme val="minor"/>
      </rPr>
      <t>1</t>
    </r>
    <r>
      <rPr>
        <sz val="10"/>
        <color theme="1"/>
        <rFont val="Calibri"/>
        <family val="2"/>
        <scheme val="minor"/>
      </rPr>
      <t>:</t>
    </r>
  </si>
  <si>
    <r>
      <t>Shares Short (prior month)</t>
    </r>
    <r>
      <rPr>
        <vertAlign val="superscript"/>
        <sz val="7.5"/>
        <color theme="1"/>
        <rFont val="Calibri"/>
        <family val="2"/>
        <scheme val="minor"/>
      </rPr>
      <t>3</t>
    </r>
    <r>
      <rPr>
        <sz val="10"/>
        <color theme="1"/>
        <rFont val="Calibri"/>
        <family val="2"/>
        <scheme val="minor"/>
      </rPr>
      <t>:</t>
    </r>
  </si>
  <si>
    <t>Dividends &amp; Splits</t>
  </si>
  <si>
    <r>
      <t>Forward Annual Dividend Rate</t>
    </r>
    <r>
      <rPr>
        <vertAlign val="superscript"/>
        <sz val="7.5"/>
        <color theme="1"/>
        <rFont val="Calibri"/>
        <family val="2"/>
        <scheme val="minor"/>
      </rPr>
      <t>4</t>
    </r>
    <r>
      <rPr>
        <sz val="10"/>
        <color theme="1"/>
        <rFont val="Calibri"/>
        <family val="2"/>
        <scheme val="minor"/>
      </rPr>
      <t>:</t>
    </r>
  </si>
  <si>
    <r>
      <t>Forward Annual Dividend Yield</t>
    </r>
    <r>
      <rPr>
        <vertAlign val="superscript"/>
        <sz val="7.5"/>
        <color theme="1"/>
        <rFont val="Calibri"/>
        <family val="2"/>
        <scheme val="minor"/>
      </rPr>
      <t>4</t>
    </r>
    <r>
      <rPr>
        <sz val="10"/>
        <color theme="1"/>
        <rFont val="Calibri"/>
        <family val="2"/>
        <scheme val="minor"/>
      </rPr>
      <t>:</t>
    </r>
  </si>
  <si>
    <r>
      <t>Trailing Annual Dividend Yield</t>
    </r>
    <r>
      <rPr>
        <vertAlign val="superscript"/>
        <sz val="7.5"/>
        <color theme="1"/>
        <rFont val="Calibri"/>
        <family val="2"/>
        <scheme val="minor"/>
      </rPr>
      <t>3</t>
    </r>
    <r>
      <rPr>
        <sz val="10"/>
        <color theme="1"/>
        <rFont val="Calibri"/>
        <family val="2"/>
        <scheme val="minor"/>
      </rPr>
      <t>:</t>
    </r>
  </si>
  <si>
    <r>
      <t>5 Year Average Dividend Yield</t>
    </r>
    <r>
      <rPr>
        <vertAlign val="superscript"/>
        <sz val="7.5"/>
        <color theme="1"/>
        <rFont val="Calibri"/>
        <family val="2"/>
        <scheme val="minor"/>
      </rPr>
      <t>4</t>
    </r>
    <r>
      <rPr>
        <sz val="10"/>
        <color theme="1"/>
        <rFont val="Calibri"/>
        <family val="2"/>
        <scheme val="minor"/>
      </rPr>
      <t>:</t>
    </r>
  </si>
  <si>
    <r>
      <t>Payout Ratio</t>
    </r>
    <r>
      <rPr>
        <vertAlign val="superscript"/>
        <sz val="7.5"/>
        <color theme="1"/>
        <rFont val="Calibri"/>
        <family val="2"/>
        <scheme val="minor"/>
      </rPr>
      <t>4</t>
    </r>
    <r>
      <rPr>
        <sz val="10"/>
        <color theme="1"/>
        <rFont val="Calibri"/>
        <family val="2"/>
        <scheme val="minor"/>
      </rPr>
      <t>:</t>
    </r>
  </si>
  <si>
    <r>
      <t>Dividend Date</t>
    </r>
    <r>
      <rPr>
        <vertAlign val="superscript"/>
        <sz val="7.5"/>
        <color theme="1"/>
        <rFont val="Calibri"/>
        <family val="2"/>
        <scheme val="minor"/>
      </rPr>
      <t>3</t>
    </r>
    <r>
      <rPr>
        <sz val="10"/>
        <color theme="1"/>
        <rFont val="Calibri"/>
        <family val="2"/>
        <scheme val="minor"/>
      </rPr>
      <t>:</t>
    </r>
  </si>
  <si>
    <r>
      <t>Ex-Dividend Date</t>
    </r>
    <r>
      <rPr>
        <vertAlign val="superscript"/>
        <sz val="7.5"/>
        <color theme="1"/>
        <rFont val="Calibri"/>
        <family val="2"/>
        <scheme val="minor"/>
      </rPr>
      <t>4</t>
    </r>
    <r>
      <rPr>
        <sz val="10"/>
        <color theme="1"/>
        <rFont val="Calibri"/>
        <family val="2"/>
        <scheme val="minor"/>
      </rPr>
      <t>:</t>
    </r>
  </si>
  <si>
    <r>
      <t>Last Split Factor (new per old)</t>
    </r>
    <r>
      <rPr>
        <vertAlign val="superscript"/>
        <sz val="7.5"/>
        <color theme="1"/>
        <rFont val="Calibri"/>
        <family val="2"/>
        <scheme val="minor"/>
      </rPr>
      <t>2</t>
    </r>
    <r>
      <rPr>
        <sz val="10"/>
        <color theme="1"/>
        <rFont val="Calibri"/>
        <family val="2"/>
        <scheme val="minor"/>
      </rPr>
      <t>:</t>
    </r>
  </si>
  <si>
    <r>
      <t>Last Split Date</t>
    </r>
    <r>
      <rPr>
        <vertAlign val="superscript"/>
        <sz val="7.5"/>
        <color theme="1"/>
        <rFont val="Calibri"/>
        <family val="2"/>
        <scheme val="minor"/>
      </rPr>
      <t>3</t>
    </r>
    <r>
      <rPr>
        <sz val="10"/>
        <color theme="1"/>
        <rFont val="Calibri"/>
        <family val="2"/>
        <scheme val="minor"/>
      </rPr>
      <t>:</t>
    </r>
  </si>
  <si>
    <t>See Key Statistics Help for definitions of terms used.</t>
  </si>
  <si>
    <r>
      <t>Abbreviation Guide:</t>
    </r>
    <r>
      <rPr>
        <sz val="7.5"/>
        <color theme="1"/>
        <rFont val="Calibri"/>
        <family val="2"/>
        <scheme val="minor"/>
      </rPr>
      <t xml:space="preserve"> </t>
    </r>
    <r>
      <rPr>
        <b/>
        <sz val="7.5"/>
        <color theme="1"/>
        <rFont val="Calibri"/>
        <family val="2"/>
        <scheme val="minor"/>
      </rPr>
      <t>K</t>
    </r>
    <r>
      <rPr>
        <sz val="7.5"/>
        <color theme="1"/>
        <rFont val="Calibri"/>
        <family val="2"/>
        <scheme val="minor"/>
      </rPr>
      <t xml:space="preserve"> = Thousands; </t>
    </r>
    <r>
      <rPr>
        <b/>
        <sz val="7.5"/>
        <color theme="1"/>
        <rFont val="Calibri"/>
        <family val="2"/>
        <scheme val="minor"/>
      </rPr>
      <t>M</t>
    </r>
    <r>
      <rPr>
        <sz val="7.5"/>
        <color theme="1"/>
        <rFont val="Calibri"/>
        <family val="2"/>
        <scheme val="minor"/>
      </rPr>
      <t xml:space="preserve"> = Millions; </t>
    </r>
    <r>
      <rPr>
        <b/>
        <sz val="7.5"/>
        <color theme="1"/>
        <rFont val="Calibri"/>
        <family val="2"/>
        <scheme val="minor"/>
      </rPr>
      <t>B</t>
    </r>
    <r>
      <rPr>
        <sz val="7.5"/>
        <color theme="1"/>
        <rFont val="Calibri"/>
        <family val="2"/>
        <scheme val="minor"/>
      </rPr>
      <t xml:space="preserve"> = Billions</t>
    </r>
  </si>
  <si>
    <r>
      <t>fye</t>
    </r>
    <r>
      <rPr>
        <sz val="7.5"/>
        <color theme="1"/>
        <rFont val="Calibri"/>
        <family val="2"/>
        <scheme val="minor"/>
      </rPr>
      <t xml:space="preserve"> = Fiscal Year Ending</t>
    </r>
  </si>
  <si>
    <r>
      <t>1</t>
    </r>
    <r>
      <rPr>
        <sz val="7.5"/>
        <color theme="1"/>
        <rFont val="Calibri"/>
        <family val="2"/>
        <scheme val="minor"/>
      </rPr>
      <t xml:space="preserve"> Data provided by Thomson Reuters</t>
    </r>
  </si>
  <si>
    <r>
      <t>2</t>
    </r>
    <r>
      <rPr>
        <sz val="7.5"/>
        <color theme="1"/>
        <rFont val="Calibri"/>
        <family val="2"/>
        <scheme val="minor"/>
      </rPr>
      <t xml:space="preserve"> Data provided by EDGAR Online</t>
    </r>
  </si>
  <si>
    <r>
      <t>3</t>
    </r>
    <r>
      <rPr>
        <sz val="7.5"/>
        <color theme="1"/>
        <rFont val="Calibri"/>
        <family val="2"/>
        <scheme val="minor"/>
      </rPr>
      <t xml:space="preserve"> Data derived from multiple sources or calculated by Yahoo! Finance</t>
    </r>
  </si>
  <si>
    <r>
      <t>4</t>
    </r>
    <r>
      <rPr>
        <sz val="7.5"/>
        <color theme="1"/>
        <rFont val="Calibri"/>
        <family val="2"/>
        <scheme val="minor"/>
      </rPr>
      <t xml:space="preserve"> Data provided by Morningstar, Inc.</t>
    </r>
  </si>
  <si>
    <r>
      <t>5</t>
    </r>
    <r>
      <rPr>
        <sz val="7.5"/>
        <color theme="1"/>
        <rFont val="Calibri"/>
        <family val="2"/>
        <scheme val="minor"/>
      </rPr>
      <t xml:space="preserve"> Shares outstanding is taken from the most recently filed quarterly or annual report and Market Cap is calculated using shares outstanding.</t>
    </r>
  </si>
  <si>
    <r>
      <t>6</t>
    </r>
    <r>
      <rPr>
        <sz val="7.5"/>
        <color theme="1"/>
        <rFont val="Calibri"/>
        <family val="2"/>
        <scheme val="minor"/>
      </rPr>
      <t xml:space="preserve"> EBITDA is calculated by Capital IQ using methodology that may differ from that used by a company in its reporting</t>
    </r>
  </si>
  <si>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</si>
  <si>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US Treasury Bonds Rates</t>
  </si>
  <si>
    <t>Maturity</t>
  </si>
  <si>
    <t>Yield</t>
  </si>
  <si>
    <t>Yesterday</t>
  </si>
  <si>
    <t>Last Week</t>
  </si>
  <si>
    <t>Last Month</t>
  </si>
  <si>
    <t>3 Month</t>
  </si>
  <si>
    <t>6 Month</t>
  </si>
  <si>
    <t>2 Year</t>
  </si>
  <si>
    <t>3 Year</t>
  </si>
  <si>
    <t>5 Year</t>
  </si>
  <si>
    <t>10 Year</t>
  </si>
  <si>
    <t>30 Year</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</si>
  <si>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t>
  </si>
  <si>
    <r>
      <t>mrq</t>
    </r>
    <r>
      <rPr>
        <sz val="7.5"/>
        <color theme="1"/>
        <rFont val="Calibri"/>
        <family val="2"/>
        <scheme val="minor"/>
      </rPr>
      <t xml:space="preserve"> = Most Recent Quarter (as of Sep 30, 2014) </t>
    </r>
  </si>
  <si>
    <r>
      <t>ttm</t>
    </r>
    <r>
      <rPr>
        <sz val="7.5"/>
        <color theme="1"/>
        <rFont val="Calibri"/>
        <family val="2"/>
        <scheme val="minor"/>
      </rPr>
      <t xml:space="preserve"> = Trailing Twelve Months (as of Sep 30, 2014) </t>
    </r>
  </si>
  <si>
    <r>
      <t>yoy</t>
    </r>
    <r>
      <rPr>
        <sz val="7.5"/>
        <color theme="1"/>
        <rFont val="Calibri"/>
        <family val="2"/>
        <scheme val="minor"/>
      </rPr>
      <t xml:space="preserve"> = Year Over Year (as of Sep 30, 2014) </t>
    </r>
  </si>
  <si>
    <t>AAPL</t>
  </si>
  <si>
    <t>N/A</t>
  </si>
  <si>
    <t>Earnings Date:</t>
  </si>
  <si>
    <t>697.92B</t>
  </si>
  <si>
    <r>
      <t xml:space="preserve">Up </t>
    </r>
    <r>
      <rPr>
        <b/>
        <sz val="11"/>
        <color theme="1"/>
        <rFont val="Calibri"/>
        <family val="2"/>
        <scheme val="minor"/>
      </rPr>
      <t>1.19%</t>
    </r>
  </si>
  <si>
    <t>GOOG</t>
  </si>
  <si>
    <r>
      <t xml:space="preserve">Down </t>
    </r>
    <r>
      <rPr>
        <b/>
        <sz val="11"/>
        <color theme="1"/>
        <rFont val="Calibri"/>
        <family val="2"/>
        <scheme val="minor"/>
      </rPr>
      <t>0.13%</t>
    </r>
  </si>
  <si>
    <t>366.57B</t>
  </si>
  <si>
    <r>
      <t>Enterprise Value (Nov 27, 2014)</t>
    </r>
    <r>
      <rPr>
        <vertAlign val="superscript"/>
        <sz val="7.5"/>
        <color theme="1"/>
        <rFont val="Calibri"/>
        <family val="2"/>
        <scheme val="minor"/>
      </rPr>
      <t>3</t>
    </r>
    <r>
      <rPr>
        <sz val="10"/>
        <color theme="1"/>
        <rFont val="Calibri"/>
        <family val="2"/>
        <scheme val="minor"/>
      </rPr>
      <t>:</t>
    </r>
  </si>
  <si>
    <r>
      <t>Shares Short (as of Nov 14, 2014)</t>
    </r>
    <r>
      <rPr>
        <vertAlign val="superscript"/>
        <sz val="7.5"/>
        <color theme="1"/>
        <rFont val="Calibri"/>
        <family val="2"/>
        <scheme val="minor"/>
      </rPr>
      <t>3</t>
    </r>
    <r>
      <rPr>
        <sz val="10"/>
        <color theme="1"/>
        <rFont val="Calibri"/>
        <family val="2"/>
        <scheme val="minor"/>
      </rPr>
      <t>:</t>
    </r>
  </si>
  <si>
    <r>
      <t>Short Ratio (as of Nov 14, 2014)</t>
    </r>
    <r>
      <rPr>
        <vertAlign val="superscript"/>
        <sz val="7.5"/>
        <color theme="1"/>
        <rFont val="Calibri"/>
        <family val="2"/>
        <scheme val="minor"/>
      </rPr>
      <t>3</t>
    </r>
    <r>
      <rPr>
        <sz val="10"/>
        <color theme="1"/>
        <rFont val="Calibri"/>
        <family val="2"/>
        <scheme val="minor"/>
      </rPr>
      <t>:</t>
    </r>
  </si>
  <si>
    <r>
      <t>Short % of Float (as of Nov 14, 2014)</t>
    </r>
    <r>
      <rPr>
        <vertAlign val="superscript"/>
        <sz val="7.5"/>
        <color theme="1"/>
        <rFont val="Calibri"/>
        <family val="2"/>
        <scheme val="minor"/>
      </rPr>
      <t>3</t>
    </r>
    <r>
      <rPr>
        <sz val="10"/>
        <color theme="1"/>
        <rFont val="Calibri"/>
        <family val="2"/>
        <scheme val="minor"/>
      </rPr>
      <t>:</t>
    </r>
  </si>
  <si>
    <t>Sponsor Results</t>
  </si>
  <si>
    <t>www.lawdepot.ca</t>
  </si>
  <si>
    <t>Brain Training Games</t>
  </si>
  <si>
    <t>Train memory and attention with scientific brain games.</t>
  </si>
  <si>
    <t>www.lumosity.com</t>
  </si>
  <si>
    <t>www.VenusFactor.com</t>
  </si>
  <si>
    <t>(What's this?)</t>
  </si>
  <si>
    <t>MSFT</t>
  </si>
  <si>
    <r>
      <t>47.35</t>
    </r>
    <r>
      <rPr>
        <sz val="7.5"/>
        <color theme="1"/>
        <rFont val="Calibri"/>
        <family val="2"/>
        <scheme val="minor"/>
      </rPr>
      <t xml:space="preserve"> x 100</t>
    </r>
  </si>
  <si>
    <t>Jan 21 - Jan 26 (Est.)</t>
  </si>
  <si>
    <t>47.28 - 47.99</t>
  </si>
  <si>
    <t>34.63 - 50.05</t>
  </si>
  <si>
    <t>393.60B</t>
  </si>
  <si>
    <t>1.24 (2.60%)</t>
  </si>
  <si>
    <r>
      <t xml:space="preserve">Up </t>
    </r>
    <r>
      <rPr>
        <b/>
        <sz val="11"/>
        <color theme="1"/>
        <rFont val="Calibri"/>
        <family val="2"/>
        <scheme val="minor"/>
      </rPr>
      <t>0.59%</t>
    </r>
  </si>
  <si>
    <t>ORCL</t>
  </si>
  <si>
    <r>
      <t xml:space="preserve">Up </t>
    </r>
    <r>
      <rPr>
        <b/>
        <sz val="11"/>
        <color theme="1"/>
        <rFont val="Calibri"/>
        <family val="2"/>
        <scheme val="minor"/>
      </rPr>
      <t>1.75%</t>
    </r>
  </si>
  <si>
    <t>185.54B</t>
  </si>
  <si>
    <r>
      <t>Annual EPS Est</t>
    </r>
    <r>
      <rPr>
        <b/>
        <sz val="7.5"/>
        <color theme="1"/>
        <rFont val="Calibri"/>
        <family val="2"/>
        <scheme val="minor"/>
      </rPr>
      <t xml:space="preserve"> (Jun-15) </t>
    </r>
    <r>
      <rPr>
        <b/>
        <sz val="10"/>
        <color theme="1"/>
        <rFont val="Calibri"/>
        <family val="2"/>
        <scheme val="minor"/>
      </rPr>
      <t>:</t>
    </r>
  </si>
  <si>
    <t>328.97B</t>
  </si>
  <si>
    <r>
      <t>Forward P/E (fye Jun 30, 2016)</t>
    </r>
    <r>
      <rPr>
        <vertAlign val="superscript"/>
        <sz val="7.5"/>
        <color theme="1"/>
        <rFont val="Calibri"/>
        <family val="2"/>
        <scheme val="minor"/>
      </rPr>
      <t>1</t>
    </r>
    <r>
      <rPr>
        <sz val="10"/>
        <color theme="1"/>
        <rFont val="Calibri"/>
        <family val="2"/>
        <scheme val="minor"/>
      </rPr>
      <t>:</t>
    </r>
  </si>
  <si>
    <t>91.50B</t>
  </si>
  <si>
    <t>59.90B</t>
  </si>
  <si>
    <t>33.26B</t>
  </si>
  <si>
    <t>21.37B</t>
  </si>
  <si>
    <t>88.54B</t>
  </si>
  <si>
    <t>23.92B</t>
  </si>
  <si>
    <t>32.38B</t>
  </si>
  <si>
    <t>23.41B</t>
  </si>
  <si>
    <r>
      <t>52-Week High (Nov 14, 2014)</t>
    </r>
    <r>
      <rPr>
        <vertAlign val="superscript"/>
        <sz val="7.5"/>
        <color theme="1"/>
        <rFont val="Calibri"/>
        <family val="2"/>
        <scheme val="minor"/>
      </rPr>
      <t>3</t>
    </r>
    <r>
      <rPr>
        <sz val="10"/>
        <color theme="1"/>
        <rFont val="Calibri"/>
        <family val="2"/>
        <scheme val="minor"/>
      </rPr>
      <t>:</t>
    </r>
  </si>
  <si>
    <r>
      <t>52-Week Low (Jan 14, 2014)</t>
    </r>
    <r>
      <rPr>
        <vertAlign val="superscript"/>
        <sz val="7.5"/>
        <color theme="1"/>
        <rFont val="Calibri"/>
        <family val="2"/>
        <scheme val="minor"/>
      </rPr>
      <t>3</t>
    </r>
    <r>
      <rPr>
        <sz val="10"/>
        <color theme="1"/>
        <rFont val="Calibri"/>
        <family val="2"/>
        <scheme val="minor"/>
      </rPr>
      <t>:</t>
    </r>
  </si>
  <si>
    <t>8.24B</t>
  </si>
  <si>
    <t>7.60B</t>
  </si>
  <si>
    <t>87.93M</t>
  </si>
  <si>
    <t>84.49M</t>
  </si>
  <si>
    <r>
      <t>lfy</t>
    </r>
    <r>
      <rPr>
        <sz val="7.5"/>
        <color theme="1"/>
        <rFont val="Calibri"/>
        <family val="2"/>
        <scheme val="minor"/>
      </rPr>
      <t xml:space="preserve"> = Last Fiscal Year (as of Jun 30, 2014) </t>
    </r>
  </si>
  <si>
    <t>Ontario Incorporation $99</t>
  </si>
  <si>
    <t>Your One-Stop Site for Registration, DBAs, Incorporations, NUANS &amp; More</t>
  </si>
  <si>
    <t>Want Beautiful Skin?</t>
  </si>
  <si>
    <t>Beautiful Skin Starts with Losing Weight -Here's How to Do Both Easily</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</si>
</sst>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7" formatCode="&quot;$&quot;#,##0.00_);\(&quot;$&quot;#,##0.00\)"/>
    <numFmt numFmtId="44" formatCode="_(&quot;$&quot;* #,##0.00_);_(&quot;$&quot;* \(#,##0.00\);_(&quot;$&quot;* &quot;-&quot;??_);_(@_)"/>
    <numFmt numFmtId="164" formatCode="_-* #,##0_-;\-* #,##0_-;_-* &quot;-&quot;_-;_-@_-"/>
    <numFmt numFmtId="165" formatCode="_-&quot;$&quot;* #,##0.00_-;\-&quot;$&quot;* #,##0.00_-;_-&quot;$&quot;* &quot;-&quot;??_-;_-@_-"/>
    <numFmt numFmtId="166" formatCode="_-* #,##0.00_-;\-* #,##0.00_-;_-* &quot;-&quot;??_-;_-@_-"/>
    <numFmt numFmtId="167" formatCode="0.0%"/>
    <numFmt numFmtId="168" formatCode="_-* #,##0_-;\-* #,##0_-;_-* &quot;-&quot;??_-;_-@_-"/>
    <numFmt numFmtId="169" formatCode="_(&quot;$&quot;* #,##0_);_(&quot;$&quot;* \(#,##0\);_(&quot;$&quot;* &quot;-&quot;??_);_(@_)"/>
    <numFmt numFmtId="170" formatCode="0\ \x"/>
    <numFmt numFmtId="171" formatCode="_-&quot;$&quot;* #,##0_-;\-&quot;$&quot;* #,##0_-;_-&quot;$&quot;* &quot;-&quot;??_-;_-@_-"/>
    <numFmt numFmtId="172" formatCode="0,000_);\(0,000\)"/>
  </numFmts>
  <fonts count="33">
    <font>
      <sz val="11"/>
      <color theme="1"/>
      <name val="Calibri"/>
      <family val="2"/>
      <scheme val="minor"/>
    </font>
    <font>
      <b/>
      <sz val="11"/>
      <color theme="1"/>
      <name val="Calibri"/>
      <family val="2"/>
      <scheme val="minor"/>
    </font>
    <font>
      <u/>
      <sz val="11"/>
      <color theme="1"/>
      <name val="Calibri"/>
      <family val="2"/>
      <scheme val="minor"/>
    </font>
    <font>
      <i/>
      <sz val="11"/>
      <color theme="1"/>
      <name val="Calibri"/>
      <family val="2"/>
      <scheme val="minor"/>
    </font>
    <font>
      <sz val="10"/>
      <color theme="1"/>
      <name val="Calibri"/>
      <family val="2"/>
      <scheme val="minor"/>
    </font>
    <font>
      <b/>
      <sz val="12"/>
      <color theme="1"/>
      <name val="Calibri"/>
      <family val="2"/>
      <scheme val="minor"/>
    </font>
    <font>
      <sz val="7.5"/>
      <color theme="1"/>
      <name val="Calibri"/>
      <family val="2"/>
      <scheme val="minor"/>
    </font>
    <font>
      <b/>
      <sz val="7.5"/>
      <color theme="1"/>
      <name val="Calibri"/>
      <family val="2"/>
      <scheme val="minor"/>
    </font>
    <font>
      <b/>
      <sz val="10"/>
      <color theme="1"/>
      <name val="Calibri"/>
      <family val="2"/>
      <scheme val="minor"/>
    </font>
    <font>
      <sz val="7.5"/>
      <color theme="1"/>
      <name val="Arial"/>
      <family val="2"/>
    </font>
    <font>
      <b/>
      <sz val="7.5"/>
      <color theme="1"/>
      <name val="Arial"/>
      <family val="2"/>
    </font>
    <font>
      <u/>
      <sz val="11"/>
      <color theme="10"/>
      <name val="Calibri"/>
      <family val="2"/>
      <scheme val="minor"/>
    </font>
    <font>
      <u/>
      <sz val="11"/>
      <color theme="11"/>
      <name val="Calibri"/>
      <family val="2"/>
      <scheme val="minor"/>
    </font>
    <font>
      <sz val="11"/>
      <color rgb="FF000000"/>
      <name val="Calibri"/>
      <family val="2"/>
    </font>
    <font>
      <sz val="11"/>
      <color theme="1"/>
      <name val="Calibri"/>
      <family val="2"/>
      <scheme val="minor"/>
    </font>
    <font>
      <sz val="11"/>
      <color theme="0"/>
      <name val="Calibri"/>
      <family val="2"/>
      <scheme val="minor"/>
    </font>
    <font>
      <sz val="12"/>
      <color theme="1"/>
      <name val="Helvetica Neue Thin"/>
    </font>
    <font>
      <sz val="12"/>
      <color theme="0"/>
      <name val="Helvetica Neue Thin"/>
    </font>
    <font>
      <sz val="12"/>
      <name val="Helvetica Neue Thin"/>
    </font>
    <font>
      <b/>
      <sz val="12"/>
      <color theme="1"/>
      <name val="Helvetica Neue Thin"/>
    </font>
    <font>
      <b/>
      <sz val="11"/>
      <color theme="0"/>
      <name val="Calibri"/>
      <family val="2"/>
      <scheme val="minor"/>
    </font>
    <font>
      <b/>
      <sz val="12"/>
      <color theme="0"/>
      <name val="Helvetica Neue Thin"/>
    </font>
    <font>
      <vertAlign val="superscript"/>
      <sz val="7.5"/>
      <color theme="1"/>
      <name val="Calibri"/>
      <family val="2"/>
      <scheme val="minor"/>
    </font>
    <font>
      <sz val="10"/>
      <color theme="1"/>
      <name val="Arial"/>
      <family val="2"/>
    </font>
    <font>
      <sz val="8.4499999999999993"/>
      <color theme="1"/>
      <name val="Arial"/>
      <family val="2"/>
    </font>
    <font>
      <sz val="11"/>
      <color theme="1"/>
      <name val="Arial"/>
      <family val="2"/>
    </font>
    <font>
      <b/>
      <sz val="9.5500000000000007"/>
      <color theme="1"/>
      <name val="Arial"/>
      <family val="2"/>
    </font>
    <font>
      <sz val="9.35"/>
      <color rgb="FF000000"/>
      <name val="Arial"/>
      <family val="2"/>
    </font>
    <font>
      <sz val="11"/>
      <name val="Calibri"/>
      <family val="2"/>
      <scheme val="minor"/>
    </font>
    <font>
      <i/>
      <sz val="11"/>
      <name val="Calibri"/>
      <family val="2"/>
      <scheme val="minor"/>
    </font>
    <font>
      <sz val="12.3"/>
      <color rgb="FF657780"/>
      <name val="Arial"/>
      <family val="2"/>
    </font>
    <font>
      <sz val="10.1"/>
      <color theme="1"/>
      <name val="Arial"/>
      <family val="2"/>
    </font>
    <font>
      <sz val="10.1"/>
      <color rgb="FF008000"/>
      <name val="Arial"/>
      <family val="2"/>
    </font>
  </fonts>
  <fills count="12">
    <fill>
      <patternFill patternType="none"/>
    </fill>
    <fill>
      <patternFill patternType="gray125"/>
    </fill>
    <fill>
      <patternFill patternType="solid">
        <fgColor theme="0" tint="-0.14999847407452621"/>
        <bgColor indexed="64"/>
      </patternFill>
    </fill>
    <fill>
      <patternFill patternType="solid">
        <fgColor theme="4" tint="0.59999389629810485"/>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rgb="FFCCCCCC"/>
        <bgColor indexed="64"/>
      </patternFill>
    </fill>
    <fill>
      <patternFill patternType="solid">
        <fgColor rgb="FFFFFFFF"/>
        <bgColor indexed="64"/>
      </patternFill>
    </fill>
    <fill>
      <patternFill patternType="solid">
        <fgColor rgb="FFEEEEEE"/>
        <bgColor indexed="64"/>
      </patternFill>
    </fill>
    <fill>
      <patternFill patternType="solid">
        <fgColor rgb="FFEFF2F7"/>
        <bgColor indexed="64"/>
      </patternFill>
    </fill>
    <fill>
      <patternFill patternType="solid">
        <fgColor rgb="FFE2EBF2"/>
        <bgColor indexed="64"/>
      </patternFill>
    </fill>
  </fills>
  <borders count="4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style="dashed">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dotted">
        <color auto="1"/>
      </right>
      <top/>
      <bottom/>
      <diagonal/>
    </border>
    <border>
      <left/>
      <right style="dotted">
        <color auto="1"/>
      </right>
      <top style="thin">
        <color auto="1"/>
      </top>
      <bottom style="thin">
        <color auto="1"/>
      </bottom>
      <diagonal/>
    </border>
    <border>
      <left/>
      <right/>
      <top/>
      <bottom style="medium">
        <color rgb="FFDCDCDC"/>
      </bottom>
      <diagonal/>
    </border>
    <border>
      <left/>
      <right/>
      <top style="medium">
        <color rgb="FFDCDCDC"/>
      </top>
      <bottom/>
      <diagonal/>
    </border>
    <border>
      <left/>
      <right/>
      <top style="thick">
        <color rgb="FF333333"/>
      </top>
      <bottom/>
      <diagonal/>
    </border>
    <border>
      <left/>
      <right/>
      <top/>
      <bottom style="thick">
        <color rgb="FF333333"/>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indexed="64"/>
      </top>
      <bottom style="double">
        <color indexed="64"/>
      </bottom>
      <diagonal/>
    </border>
    <border>
      <left/>
      <right/>
      <top style="thin">
        <color indexed="64"/>
      </top>
      <bottom style="double">
        <color indexed="64"/>
      </bottom>
      <diagonal/>
    </border>
    <border>
      <left/>
      <right style="dashed">
        <color indexed="64"/>
      </right>
      <top/>
      <bottom style="thin">
        <color auto="1"/>
      </bottom>
      <diagonal/>
    </border>
    <border>
      <left style="dashed">
        <color auto="1"/>
      </left>
      <right style="dashed">
        <color indexed="64"/>
      </right>
      <top/>
      <bottom/>
      <diagonal/>
    </border>
    <border>
      <left style="dashed">
        <color auto="1"/>
      </left>
      <right style="dashed">
        <color indexed="64"/>
      </right>
      <top style="thin">
        <color indexed="64"/>
      </top>
      <bottom style="double">
        <color indexed="64"/>
      </bottom>
      <diagonal/>
    </border>
    <border>
      <left style="dashed">
        <color auto="1"/>
      </left>
      <right style="dashed">
        <color indexed="64"/>
      </right>
      <top/>
      <bottom style="thin">
        <color indexed="64"/>
      </bottom>
      <diagonal/>
    </border>
    <border>
      <left/>
      <right style="dashed">
        <color indexed="64"/>
      </right>
      <top style="thin">
        <color auto="1"/>
      </top>
      <bottom style="thin">
        <color indexed="64"/>
      </bottom>
      <diagonal/>
    </border>
    <border>
      <left style="dashed">
        <color indexed="64"/>
      </left>
      <right/>
      <top/>
      <bottom/>
      <diagonal/>
    </border>
    <border>
      <left/>
      <right/>
      <top/>
      <bottom style="dashed">
        <color indexed="64"/>
      </bottom>
      <diagonal/>
    </border>
    <border>
      <left style="medium">
        <color indexed="64"/>
      </left>
      <right style="medium">
        <color indexed="64"/>
      </right>
      <top style="medium">
        <color indexed="64"/>
      </top>
      <bottom style="medium">
        <color indexed="64"/>
      </bottom>
      <diagonal/>
    </border>
    <border>
      <left/>
      <right style="dotted">
        <color indexed="64"/>
      </right>
      <top/>
      <bottom style="thin">
        <color auto="1"/>
      </bottom>
      <diagonal/>
    </border>
    <border>
      <left/>
      <right style="dotted">
        <color indexed="64"/>
      </right>
      <top style="thin">
        <color auto="1"/>
      </top>
      <bottom/>
      <diagonal/>
    </border>
    <border>
      <left style="dashed">
        <color indexed="64"/>
      </left>
      <right/>
      <top/>
      <bottom style="thin">
        <color auto="1"/>
      </bottom>
      <diagonal/>
    </border>
    <border>
      <left style="medium">
        <color rgb="FFA1A1A1"/>
      </left>
      <right style="medium">
        <color rgb="FFA1A1A1"/>
      </right>
      <top/>
      <bottom style="medium">
        <color rgb="FFA1A1A1"/>
      </bottom>
      <diagonal/>
    </border>
    <border>
      <left/>
      <right style="medium">
        <color rgb="FFA1A1A1"/>
      </right>
      <top/>
      <bottom style="medium">
        <color rgb="FFA1A1A1"/>
      </bottom>
      <diagonal/>
    </border>
    <border>
      <left style="medium">
        <color rgb="FFE2EBF2"/>
      </left>
      <right style="medium">
        <color rgb="FFE2EBF2"/>
      </right>
      <top/>
      <bottom/>
      <diagonal/>
    </border>
    <border>
      <left/>
      <right/>
      <top style="medium">
        <color rgb="FF000000"/>
      </top>
      <bottom/>
      <diagonal/>
    </border>
  </borders>
  <cellStyleXfs count="16">
    <xf numFmtId="0" fontId="0" fillId="0" borderId="0"/>
    <xf numFmtId="0" fontId="1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xf numFmtId="0" fontId="12" fillId="0" borderId="0" applyNumberFormat="0" applyFill="0" applyBorder="0" applyAlignment="0" applyProtection="0"/>
    <xf numFmtId="166" fontId="14" fillId="0" borderId="0" applyFont="0" applyFill="0" applyBorder="0" applyAlignment="0" applyProtection="0"/>
  </cellStyleXfs>
  <cellXfs count="276">
    <xf numFmtId="0" fontId="0" fillId="0" borderId="0" xfId="0"/>
    <xf numFmtId="0" fontId="0" fillId="0" borderId="2" xfId="0" applyBorder="1"/>
    <xf numFmtId="0" fontId="0" fillId="0" borderId="3" xfId="0" applyBorder="1"/>
    <xf numFmtId="0" fontId="0" fillId="0" borderId="5" xfId="0" applyBorder="1"/>
    <xf numFmtId="0" fontId="0" fillId="0" borderId="0"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2" xfId="0" applyFont="1" applyBorder="1"/>
    <xf numFmtId="0" fontId="0" fillId="0" borderId="0" xfId="0" applyFill="1" applyBorder="1"/>
    <xf numFmtId="0" fontId="2" fillId="0" borderId="0" xfId="0" applyFont="1" applyBorder="1" applyAlignment="1">
      <alignment horizontal="center"/>
    </xf>
    <xf numFmtId="0" fontId="2" fillId="0" borderId="0" xfId="0" applyFont="1" applyFill="1" applyBorder="1" applyAlignment="1">
      <alignment horizontal="center"/>
    </xf>
    <xf numFmtId="0" fontId="0" fillId="0" borderId="10" xfId="0" applyBorder="1"/>
    <xf numFmtId="0" fontId="1" fillId="0" borderId="5" xfId="0" applyFont="1" applyBorder="1"/>
    <xf numFmtId="0" fontId="1" fillId="0" borderId="7" xfId="0" applyFont="1" applyBorder="1"/>
    <xf numFmtId="0" fontId="1" fillId="0" borderId="11" xfId="0" applyFont="1" applyBorder="1"/>
    <xf numFmtId="0" fontId="0" fillId="0" borderId="12" xfId="0" applyBorder="1"/>
    <xf numFmtId="0" fontId="3" fillId="0" borderId="0" xfId="0" applyFont="1" applyBorder="1"/>
    <xf numFmtId="0" fontId="1" fillId="0" borderId="0" xfId="0" applyFont="1" applyBorder="1" applyAlignment="1"/>
    <xf numFmtId="0" fontId="1" fillId="0" borderId="0" xfId="0" applyFont="1" applyFill="1" applyBorder="1" applyAlignment="1">
      <alignment horizontal="center"/>
    </xf>
    <xf numFmtId="0" fontId="3" fillId="0" borderId="0" xfId="0" applyFont="1" applyFill="1" applyBorder="1"/>
    <xf numFmtId="0" fontId="0" fillId="0" borderId="6" xfId="0" applyFill="1" applyBorder="1"/>
    <xf numFmtId="0" fontId="0" fillId="0" borderId="3" xfId="0" applyFill="1" applyBorder="1"/>
    <xf numFmtId="0" fontId="0" fillId="0" borderId="5" xfId="0" applyFill="1" applyBorder="1"/>
    <xf numFmtId="0" fontId="1" fillId="0" borderId="6" xfId="0" applyFont="1" applyFill="1" applyBorder="1" applyAlignment="1">
      <alignment horizontal="center"/>
    </xf>
    <xf numFmtId="0" fontId="1" fillId="0" borderId="5" xfId="0" applyFont="1" applyFill="1" applyBorder="1"/>
    <xf numFmtId="0" fontId="1" fillId="0" borderId="8" xfId="0" applyFont="1" applyBorder="1"/>
    <xf numFmtId="0" fontId="0" fillId="0" borderId="14" xfId="0" applyBorder="1"/>
    <xf numFmtId="0" fontId="0" fillId="0" borderId="15" xfId="0" applyBorder="1"/>
    <xf numFmtId="0" fontId="3" fillId="0" borderId="8" xfId="0" applyFont="1" applyBorder="1"/>
    <xf numFmtId="0" fontId="0" fillId="0" borderId="5" xfId="0" quotePrefix="1" applyBorder="1"/>
    <xf numFmtId="0" fontId="0" fillId="0" borderId="5" xfId="0" quotePrefix="1" applyFill="1" applyBorder="1"/>
    <xf numFmtId="0" fontId="0" fillId="0" borderId="7" xfId="0" applyFill="1" applyBorder="1"/>
    <xf numFmtId="0" fontId="4" fillId="0" borderId="0" xfId="0" applyFont="1" applyAlignment="1">
      <alignment vertical="center"/>
    </xf>
    <xf numFmtId="0" fontId="11" fillId="0" borderId="0" xfId="1" applyAlignment="1">
      <alignment horizontal="center" vertical="center" wrapText="1"/>
    </xf>
    <xf numFmtId="0" fontId="7" fillId="0" borderId="16" xfId="0" applyFont="1" applyBorder="1" applyAlignment="1">
      <alignment horizontal="right" vertical="center" wrapText="1"/>
    </xf>
    <xf numFmtId="0" fontId="11" fillId="0" borderId="0" xfId="1" applyAlignment="1">
      <alignment vertical="center" wrapText="1"/>
    </xf>
    <xf numFmtId="0" fontId="6" fillId="0" borderId="0" xfId="0" applyFont="1" applyAlignment="1">
      <alignment horizontal="right" vertical="center" wrapText="1"/>
    </xf>
    <xf numFmtId="3" fontId="4" fillId="0" borderId="0" xfId="0" applyNumberFormat="1" applyFont="1" applyAlignment="1">
      <alignment horizontal="right" vertical="center" wrapText="1"/>
    </xf>
    <xf numFmtId="0" fontId="4" fillId="0" borderId="0" xfId="0" applyFont="1" applyAlignment="1">
      <alignment horizontal="right" vertical="center" wrapText="1"/>
    </xf>
    <xf numFmtId="3" fontId="8" fillId="0" borderId="0" xfId="0" applyNumberFormat="1" applyFont="1" applyAlignment="1">
      <alignment horizontal="right"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1" fillId="2" borderId="6" xfId="0" applyFont="1" applyFill="1" applyBorder="1"/>
    <xf numFmtId="0" fontId="8" fillId="0" borderId="0" xfId="0" applyFont="1" applyAlignment="1">
      <alignment horizontal="right" vertical="center" wrapText="1"/>
    </xf>
    <xf numFmtId="0" fontId="1" fillId="2" borderId="6" xfId="0" applyFont="1" applyFill="1" applyBorder="1" applyAlignment="1">
      <alignment horizontal="right"/>
    </xf>
    <xf numFmtId="167" fontId="0" fillId="0" borderId="13" xfId="13" applyNumberFormat="1" applyFont="1" applyBorder="1"/>
    <xf numFmtId="167" fontId="0" fillId="0" borderId="6" xfId="13" applyNumberFormat="1" applyFont="1" applyBorder="1"/>
    <xf numFmtId="0" fontId="16" fillId="0" borderId="0" xfId="0" applyFont="1"/>
    <xf numFmtId="0" fontId="15" fillId="0" borderId="0" xfId="0" applyFont="1" applyBorder="1"/>
    <xf numFmtId="0" fontId="15" fillId="0" borderId="0" xfId="0" applyFont="1" applyFill="1" applyBorder="1"/>
    <xf numFmtId="169" fontId="0" fillId="0" borderId="0" xfId="12" applyNumberFormat="1" applyFont="1" applyBorder="1"/>
    <xf numFmtId="169" fontId="0" fillId="0" borderId="6" xfId="12" applyNumberFormat="1" applyFont="1" applyBorder="1"/>
    <xf numFmtId="167" fontId="3" fillId="0" borderId="0" xfId="13" applyNumberFormat="1" applyFont="1" applyBorder="1"/>
    <xf numFmtId="167" fontId="3" fillId="0" borderId="6" xfId="13" applyNumberFormat="1" applyFont="1" applyBorder="1"/>
    <xf numFmtId="0" fontId="1" fillId="0" borderId="10" xfId="0" applyFont="1" applyFill="1" applyBorder="1" applyAlignment="1">
      <alignment horizontal="center"/>
    </xf>
    <xf numFmtId="0" fontId="0" fillId="0" borderId="25" xfId="0" applyBorder="1"/>
    <xf numFmtId="0" fontId="1" fillId="0" borderId="28" xfId="0" applyFont="1" applyFill="1" applyBorder="1" applyAlignment="1">
      <alignment horizontal="center"/>
    </xf>
    <xf numFmtId="0" fontId="1" fillId="0" borderId="8" xfId="0" applyFont="1" applyFill="1" applyBorder="1" applyAlignment="1">
      <alignment horizontal="center"/>
    </xf>
    <xf numFmtId="0" fontId="1" fillId="0" borderId="9" xfId="0" applyFont="1" applyFill="1" applyBorder="1" applyAlignment="1">
      <alignment horizontal="center"/>
    </xf>
    <xf numFmtId="0" fontId="1" fillId="0" borderId="0" xfId="0" applyFont="1" applyFill="1" applyBorder="1" applyAlignment="1">
      <alignment horizontal="right"/>
    </xf>
    <xf numFmtId="0" fontId="1" fillId="3" borderId="1" xfId="0" applyFont="1" applyFill="1" applyBorder="1" applyAlignment="1">
      <alignment horizontal="center"/>
    </xf>
    <xf numFmtId="0" fontId="0" fillId="0" borderId="31" xfId="0" applyBorder="1"/>
    <xf numFmtId="0" fontId="1" fillId="0" borderId="0" xfId="0" applyFont="1" applyBorder="1" applyAlignment="1">
      <alignment horizontal="center"/>
    </xf>
    <xf numFmtId="0" fontId="0" fillId="0" borderId="0" xfId="0" applyBorder="1" applyAlignment="1"/>
    <xf numFmtId="0" fontId="1" fillId="0" borderId="6"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168" fontId="0" fillId="2" borderId="0" xfId="15" applyNumberFormat="1" applyFont="1" applyFill="1" applyBorder="1"/>
    <xf numFmtId="168" fontId="0" fillId="0" borderId="0" xfId="15" applyNumberFormat="1" applyFont="1" applyFill="1" applyBorder="1"/>
    <xf numFmtId="168" fontId="0" fillId="0" borderId="6" xfId="15" applyNumberFormat="1" applyFont="1" applyFill="1" applyBorder="1"/>
    <xf numFmtId="168" fontId="0" fillId="2" borderId="3" xfId="15" applyNumberFormat="1" applyFont="1" applyFill="1" applyBorder="1"/>
    <xf numFmtId="168" fontId="0" fillId="0" borderId="3" xfId="15" applyNumberFormat="1" applyFont="1" applyFill="1" applyBorder="1"/>
    <xf numFmtId="168" fontId="0" fillId="0" borderId="4" xfId="15" applyNumberFormat="1" applyFont="1" applyFill="1" applyBorder="1"/>
    <xf numFmtId="168" fontId="0" fillId="0" borderId="14" xfId="15" applyNumberFormat="1" applyFont="1" applyFill="1" applyBorder="1"/>
    <xf numFmtId="168" fontId="0" fillId="0" borderId="12" xfId="15" applyNumberFormat="1" applyFont="1" applyBorder="1"/>
    <xf numFmtId="168" fontId="0" fillId="0" borderId="13" xfId="15" applyNumberFormat="1" applyFont="1" applyBorder="1"/>
    <xf numFmtId="0" fontId="1" fillId="0" borderId="15" xfId="0" applyFont="1" applyBorder="1" applyAlignment="1">
      <alignment horizontal="center"/>
    </xf>
    <xf numFmtId="168" fontId="0" fillId="2" borderId="14" xfId="15" applyNumberFormat="1" applyFont="1" applyFill="1" applyBorder="1"/>
    <xf numFmtId="168" fontId="0" fillId="2" borderId="34" xfId="15" applyNumberFormat="1" applyFont="1" applyFill="1" applyBorder="1"/>
    <xf numFmtId="0" fontId="0" fillId="0" borderId="34" xfId="0" applyBorder="1"/>
    <xf numFmtId="168" fontId="0" fillId="0" borderId="0" xfId="15" applyNumberFormat="1" applyFont="1" applyFill="1" applyBorder="1" applyAlignment="1">
      <alignment horizontal="right"/>
    </xf>
    <xf numFmtId="168" fontId="0" fillId="0" borderId="6" xfId="15" applyNumberFormat="1" applyFont="1" applyFill="1" applyBorder="1" applyAlignment="1">
      <alignment horizontal="right"/>
    </xf>
    <xf numFmtId="167" fontId="3" fillId="0" borderId="0" xfId="13" applyNumberFormat="1" applyFont="1" applyFill="1" applyBorder="1" applyAlignment="1">
      <alignment horizontal="right"/>
    </xf>
    <xf numFmtId="167" fontId="3" fillId="0" borderId="6" xfId="13" applyNumberFormat="1" applyFont="1" applyFill="1" applyBorder="1" applyAlignment="1">
      <alignment horizontal="right"/>
    </xf>
    <xf numFmtId="167" fontId="3" fillId="0" borderId="0" xfId="13" applyNumberFormat="1" applyFont="1" applyFill="1" applyBorder="1"/>
    <xf numFmtId="167" fontId="3" fillId="0" borderId="6" xfId="13" applyNumberFormat="1" applyFont="1" applyFill="1" applyBorder="1"/>
    <xf numFmtId="168" fontId="0" fillId="2" borderId="0" xfId="0" applyNumberFormat="1" applyFill="1" applyBorder="1"/>
    <xf numFmtId="168" fontId="0" fillId="0" borderId="0" xfId="0" applyNumberFormat="1" applyFill="1" applyBorder="1"/>
    <xf numFmtId="168" fontId="0" fillId="0" borderId="6" xfId="0" applyNumberFormat="1" applyFill="1" applyBorder="1"/>
    <xf numFmtId="172" fontId="0" fillId="0" borderId="0" xfId="0" applyNumberFormat="1" applyBorder="1"/>
    <xf numFmtId="172" fontId="0" fillId="0" borderId="6" xfId="0" applyNumberFormat="1" applyBorder="1"/>
    <xf numFmtId="172" fontId="1" fillId="0" borderId="8" xfId="0" applyNumberFormat="1" applyFont="1" applyBorder="1"/>
    <xf numFmtId="172" fontId="1" fillId="0" borderId="9" xfId="0" applyNumberFormat="1" applyFont="1" applyBorder="1"/>
    <xf numFmtId="0" fontId="1" fillId="0" borderId="25" xfId="0" applyFont="1" applyFill="1" applyBorder="1" applyAlignment="1">
      <alignment horizontal="center"/>
    </xf>
    <xf numFmtId="168" fontId="0" fillId="0" borderId="10" xfId="15" applyNumberFormat="1" applyFont="1" applyFill="1" applyBorder="1" applyAlignment="1">
      <alignment horizontal="right"/>
    </xf>
    <xf numFmtId="167" fontId="3" fillId="0" borderId="10" xfId="13" applyNumberFormat="1" applyFont="1" applyFill="1" applyBorder="1" applyAlignment="1">
      <alignment horizontal="right"/>
    </xf>
    <xf numFmtId="0" fontId="0" fillId="0" borderId="10" xfId="0" applyFill="1" applyBorder="1"/>
    <xf numFmtId="168" fontId="0" fillId="2" borderId="10" xfId="15" applyNumberFormat="1" applyFont="1" applyFill="1" applyBorder="1"/>
    <xf numFmtId="167" fontId="3" fillId="0" borderId="10" xfId="13" applyNumberFormat="1" applyFont="1" applyFill="1" applyBorder="1"/>
    <xf numFmtId="168" fontId="0" fillId="2" borderId="10" xfId="0" applyNumberFormat="1" applyFill="1" applyBorder="1"/>
    <xf numFmtId="172" fontId="0" fillId="0" borderId="10" xfId="0" applyNumberFormat="1" applyBorder="1"/>
    <xf numFmtId="172" fontId="1" fillId="0" borderId="25" xfId="0" applyNumberFormat="1" applyFont="1" applyBorder="1"/>
    <xf numFmtId="168" fontId="0" fillId="0" borderId="34" xfId="15" applyNumberFormat="1" applyFont="1" applyBorder="1"/>
    <xf numFmtId="168" fontId="0" fillId="2" borderId="8" xfId="15" applyNumberFormat="1" applyFont="1" applyFill="1" applyBorder="1" applyAlignment="1">
      <alignment horizontal="right"/>
    </xf>
    <xf numFmtId="168" fontId="0" fillId="2" borderId="25" xfId="15" applyNumberFormat="1" applyFont="1" applyFill="1" applyBorder="1" applyAlignment="1">
      <alignment horizontal="right"/>
    </xf>
    <xf numFmtId="168" fontId="0" fillId="0" borderId="8" xfId="15" applyNumberFormat="1" applyFont="1" applyFill="1" applyBorder="1" applyAlignment="1">
      <alignment horizontal="right"/>
    </xf>
    <xf numFmtId="168" fontId="0" fillId="0" borderId="9" xfId="15" applyNumberFormat="1" applyFont="1" applyFill="1" applyBorder="1" applyAlignment="1">
      <alignment horizontal="right"/>
    </xf>
    <xf numFmtId="169" fontId="0" fillId="2" borderId="0" xfId="12" applyNumberFormat="1" applyFont="1" applyFill="1" applyBorder="1"/>
    <xf numFmtId="169" fontId="0" fillId="0" borderId="10" xfId="12" applyNumberFormat="1" applyFont="1" applyBorder="1"/>
    <xf numFmtId="169" fontId="0" fillId="2" borderId="10" xfId="12" applyNumberFormat="1" applyFont="1" applyFill="1" applyBorder="1"/>
    <xf numFmtId="0" fontId="1" fillId="0" borderId="35" xfId="0" applyFont="1" applyFill="1" applyBorder="1" applyAlignment="1">
      <alignment horizontal="center"/>
    </xf>
    <xf numFmtId="0" fontId="1" fillId="0" borderId="30" xfId="0" applyFont="1" applyFill="1" applyBorder="1" applyAlignment="1">
      <alignment horizontal="center"/>
    </xf>
    <xf numFmtId="168" fontId="0" fillId="0" borderId="30" xfId="15" applyNumberFormat="1" applyFont="1" applyFill="1" applyBorder="1" applyAlignment="1">
      <alignment horizontal="right"/>
    </xf>
    <xf numFmtId="168" fontId="0" fillId="2" borderId="35" xfId="15" applyNumberFormat="1" applyFont="1" applyFill="1" applyBorder="1" applyAlignment="1">
      <alignment horizontal="right"/>
    </xf>
    <xf numFmtId="167" fontId="3" fillId="0" borderId="30" xfId="13" applyNumberFormat="1" applyFont="1" applyFill="1" applyBorder="1" applyAlignment="1">
      <alignment horizontal="right"/>
    </xf>
    <xf numFmtId="0" fontId="0" fillId="0" borderId="30" xfId="0" applyFill="1" applyBorder="1"/>
    <xf numFmtId="168" fontId="0" fillId="2" borderId="30" xfId="15" applyNumberFormat="1" applyFont="1" applyFill="1" applyBorder="1"/>
    <xf numFmtId="167" fontId="3" fillId="0" borderId="30" xfId="13" applyNumberFormat="1" applyFont="1" applyFill="1" applyBorder="1"/>
    <xf numFmtId="168" fontId="0" fillId="2" borderId="30" xfId="0" applyNumberFormat="1" applyFill="1" applyBorder="1"/>
    <xf numFmtId="0" fontId="0" fillId="0" borderId="35" xfId="0" applyBorder="1"/>
    <xf numFmtId="172" fontId="0" fillId="0" borderId="30" xfId="0" applyNumberFormat="1" applyBorder="1"/>
    <xf numFmtId="172" fontId="1" fillId="0" borderId="35" xfId="0" applyNumberFormat="1" applyFont="1" applyBorder="1"/>
    <xf numFmtId="0" fontId="1" fillId="2" borderId="0" xfId="0" applyFont="1" applyFill="1" applyBorder="1" applyAlignment="1">
      <alignment horizontal="right"/>
    </xf>
    <xf numFmtId="167" fontId="1" fillId="2" borderId="6" xfId="13" applyNumberFormat="1" applyFont="1" applyFill="1" applyBorder="1"/>
    <xf numFmtId="166" fontId="0" fillId="0" borderId="0" xfId="15" applyFont="1" applyBorder="1"/>
    <xf numFmtId="168" fontId="0" fillId="2" borderId="13" xfId="15" applyNumberFormat="1" applyFont="1" applyFill="1" applyBorder="1"/>
    <xf numFmtId="0" fontId="16" fillId="0" borderId="5" xfId="0" applyFont="1" applyBorder="1"/>
    <xf numFmtId="0" fontId="16" fillId="0" borderId="0" xfId="0" applyFont="1" applyBorder="1"/>
    <xf numFmtId="0" fontId="17" fillId="0" borderId="0" xfId="0" applyFont="1" applyBorder="1"/>
    <xf numFmtId="0" fontId="18" fillId="0" borderId="0" xfId="0" applyFont="1" applyBorder="1"/>
    <xf numFmtId="9" fontId="18" fillId="0" borderId="0" xfId="0" applyNumberFormat="1" applyFont="1" applyBorder="1"/>
    <xf numFmtId="9" fontId="17" fillId="0" borderId="0" xfId="0" applyNumberFormat="1" applyFont="1" applyBorder="1"/>
    <xf numFmtId="0" fontId="16" fillId="0" borderId="6" xfId="0" applyFont="1" applyBorder="1"/>
    <xf numFmtId="1" fontId="16" fillId="0" borderId="6" xfId="0" applyNumberFormat="1" applyFont="1" applyBorder="1"/>
    <xf numFmtId="0" fontId="16" fillId="0" borderId="0" xfId="0" applyFont="1" applyFill="1" applyBorder="1"/>
    <xf numFmtId="9" fontId="16" fillId="0" borderId="0" xfId="13" applyFont="1" applyFill="1" applyBorder="1"/>
    <xf numFmtId="9" fontId="16" fillId="0" borderId="0" xfId="13" applyFont="1"/>
    <xf numFmtId="164" fontId="16" fillId="0" borderId="0" xfId="13" applyNumberFormat="1" applyFont="1"/>
    <xf numFmtId="0" fontId="19" fillId="0" borderId="6" xfId="0" applyFont="1" applyBorder="1" applyAlignment="1"/>
    <xf numFmtId="164" fontId="17" fillId="0" borderId="0" xfId="0" applyNumberFormat="1" applyFont="1" applyFill="1" applyBorder="1" applyAlignment="1">
      <alignment horizontal="center" vertical="center"/>
    </xf>
    <xf numFmtId="9" fontId="16" fillId="5" borderId="0" xfId="0" applyNumberFormat="1" applyFont="1" applyFill="1" applyBorder="1" applyAlignment="1">
      <alignment horizontal="center" vertical="center"/>
    </xf>
    <xf numFmtId="9" fontId="16" fillId="0" borderId="6" xfId="0" applyNumberFormat="1" applyFont="1" applyFill="1" applyBorder="1" applyAlignment="1">
      <alignment horizontal="center" vertical="center"/>
    </xf>
    <xf numFmtId="164" fontId="16" fillId="0" borderId="6" xfId="0" applyNumberFormat="1" applyFont="1" applyBorder="1" applyAlignment="1">
      <alignment horizontal="center" vertical="center"/>
    </xf>
    <xf numFmtId="164" fontId="16" fillId="0" borderId="6" xfId="0" applyNumberFormat="1" applyFont="1" applyFill="1" applyBorder="1" applyAlignment="1">
      <alignment horizontal="center" vertical="center"/>
    </xf>
    <xf numFmtId="0" fontId="16" fillId="0" borderId="7" xfId="0" applyFont="1" applyBorder="1"/>
    <xf numFmtId="0" fontId="16" fillId="0" borderId="8" xfId="0" applyFont="1" applyBorder="1"/>
    <xf numFmtId="0" fontId="16" fillId="0" borderId="9" xfId="0" applyFont="1" applyBorder="1"/>
    <xf numFmtId="167" fontId="3" fillId="0" borderId="8" xfId="13" applyNumberFormat="1" applyFont="1" applyBorder="1"/>
    <xf numFmtId="167" fontId="3" fillId="0" borderId="9" xfId="13" applyNumberFormat="1" applyFont="1" applyBorder="1"/>
    <xf numFmtId="167" fontId="3" fillId="0" borderId="33" xfId="13" applyNumberFormat="1" applyFont="1" applyBorder="1"/>
    <xf numFmtId="167" fontId="3" fillId="0" borderId="10" xfId="13" applyNumberFormat="1" applyFont="1" applyBorder="1"/>
    <xf numFmtId="167" fontId="3" fillId="0" borderId="8" xfId="0" applyNumberFormat="1" applyFont="1" applyBorder="1"/>
    <xf numFmtId="167" fontId="3" fillId="0" borderId="25" xfId="0" applyNumberFormat="1" applyFont="1" applyBorder="1"/>
    <xf numFmtId="167" fontId="3" fillId="0" borderId="9" xfId="0" applyNumberFormat="1" applyFont="1" applyBorder="1"/>
    <xf numFmtId="0" fontId="21" fillId="0" borderId="0" xfId="0" applyFont="1" applyBorder="1" applyAlignment="1">
      <alignment horizontal="center" vertical="center" wrapText="1"/>
    </xf>
    <xf numFmtId="15" fontId="8" fillId="0" borderId="0" xfId="0" applyNumberFormat="1" applyFont="1" applyAlignment="1">
      <alignment horizontal="right" vertical="center" wrapText="1"/>
    </xf>
    <xf numFmtId="3" fontId="4" fillId="0" borderId="0" xfId="0" applyNumberFormat="1" applyFont="1" applyAlignment="1">
      <alignment vertical="center" wrapText="1"/>
    </xf>
    <xf numFmtId="15" fontId="4" fillId="0" borderId="0" xfId="0" applyNumberFormat="1" applyFont="1" applyAlignment="1">
      <alignment vertical="center" wrapText="1"/>
    </xf>
    <xf numFmtId="10" fontId="4" fillId="0" borderId="0" xfId="0" applyNumberFormat="1" applyFont="1" applyAlignment="1">
      <alignment vertical="center" wrapText="1"/>
    </xf>
    <xf numFmtId="20" fontId="4" fillId="0" borderId="0" xfId="0" applyNumberFormat="1" applyFont="1" applyAlignment="1">
      <alignment vertical="center" wrapText="1"/>
    </xf>
    <xf numFmtId="0" fontId="25" fillId="0" borderId="0" xfId="0" applyFont="1" applyAlignment="1">
      <alignment vertical="center"/>
    </xf>
    <xf numFmtId="0" fontId="26" fillId="9" borderId="36" xfId="0" applyFont="1" applyFill="1" applyBorder="1" applyAlignment="1">
      <alignment horizontal="left" wrapText="1"/>
    </xf>
    <xf numFmtId="0" fontId="26" fillId="9" borderId="37" xfId="0" applyFont="1" applyFill="1" applyBorder="1" applyAlignment="1">
      <alignment horizontal="left" wrapText="1"/>
    </xf>
    <xf numFmtId="0" fontId="27" fillId="8" borderId="36" xfId="0" applyFont="1" applyFill="1" applyBorder="1" applyAlignment="1">
      <alignment horizontal="left" vertical="center" wrapText="1"/>
    </xf>
    <xf numFmtId="0" fontId="27" fillId="8" borderId="37" xfId="0" applyFont="1" applyFill="1" applyBorder="1" applyAlignment="1">
      <alignment horizontal="left" vertical="center" wrapText="1"/>
    </xf>
    <xf numFmtId="0" fontId="27" fillId="10" borderId="36" xfId="0" applyFont="1" applyFill="1" applyBorder="1" applyAlignment="1">
      <alignment horizontal="left" vertical="center" wrapText="1"/>
    </xf>
    <xf numFmtId="0" fontId="27" fillId="10" borderId="37" xfId="0" applyFont="1" applyFill="1" applyBorder="1" applyAlignment="1">
      <alignment horizontal="left" vertical="center" wrapText="1"/>
    </xf>
    <xf numFmtId="0" fontId="9" fillId="0" borderId="38" xfId="0" applyFont="1" applyBorder="1" applyAlignment="1">
      <alignment vertical="center" wrapText="1"/>
    </xf>
    <xf numFmtId="0" fontId="25" fillId="0" borderId="0" xfId="0" applyFont="1" applyAlignment="1">
      <alignment vertical="center" wrapText="1"/>
    </xf>
    <xf numFmtId="0" fontId="16" fillId="0" borderId="0" xfId="0" applyFont="1" applyFill="1"/>
    <xf numFmtId="15" fontId="8" fillId="0" borderId="39" xfId="0" applyNumberFormat="1" applyFont="1" applyBorder="1" applyAlignment="1">
      <alignment horizontal="right" vertical="center" wrapText="1"/>
    </xf>
    <xf numFmtId="0" fontId="9" fillId="0" borderId="0" xfId="0" applyFont="1" applyAlignment="1">
      <alignment vertical="center" wrapText="1"/>
    </xf>
    <xf numFmtId="7" fontId="0" fillId="0" borderId="0" xfId="0" applyNumberFormat="1" applyBorder="1"/>
    <xf numFmtId="0" fontId="1" fillId="0" borderId="0" xfId="0" applyFont="1" applyBorder="1"/>
    <xf numFmtId="0" fontId="0" fillId="0" borderId="4" xfId="0" applyBorder="1"/>
    <xf numFmtId="0" fontId="15" fillId="4" borderId="0" xfId="0" applyFont="1" applyFill="1" applyBorder="1"/>
    <xf numFmtId="0" fontId="20" fillId="4" borderId="0" xfId="0" applyFont="1" applyFill="1" applyBorder="1" applyAlignment="1">
      <alignment horizontal="left"/>
    </xf>
    <xf numFmtId="0" fontId="20" fillId="4" borderId="0" xfId="0" applyFont="1" applyFill="1" applyBorder="1"/>
    <xf numFmtId="0" fontId="20" fillId="4" borderId="0" xfId="0" applyFont="1" applyFill="1" applyBorder="1" applyAlignment="1">
      <alignment horizontal="right"/>
    </xf>
    <xf numFmtId="164" fontId="16" fillId="0" borderId="0" xfId="0" applyNumberFormat="1" applyFont="1" applyBorder="1" applyAlignment="1">
      <alignment horizontal="center" vertical="center"/>
    </xf>
    <xf numFmtId="164" fontId="16" fillId="6" borderId="0" xfId="0" applyNumberFormat="1" applyFont="1" applyFill="1" applyBorder="1" applyAlignment="1">
      <alignment horizontal="center" vertical="center"/>
    </xf>
    <xf numFmtId="164" fontId="16" fillId="0" borderId="0" xfId="0" applyNumberFormat="1" applyFont="1" applyFill="1" applyBorder="1" applyAlignment="1">
      <alignment horizontal="center" vertical="center"/>
    </xf>
    <xf numFmtId="0" fontId="28" fillId="0" borderId="0" xfId="0" applyFont="1" applyFill="1" applyBorder="1"/>
    <xf numFmtId="0" fontId="4" fillId="0" borderId="0" xfId="0" applyFont="1" applyAlignment="1">
      <alignment vertical="center" wrapText="1"/>
    </xf>
    <xf numFmtId="0" fontId="0" fillId="0" borderId="0" xfId="0" applyAlignment="1">
      <alignment vertical="center" wrapText="1"/>
    </xf>
    <xf numFmtId="0" fontId="0" fillId="0" borderId="0" xfId="0"/>
    <xf numFmtId="0" fontId="0" fillId="0" borderId="0" xfId="0" applyAlignment="1">
      <alignment horizontal="center" vertical="center" wrapText="1"/>
    </xf>
    <xf numFmtId="0" fontId="8" fillId="0" borderId="0" xfId="0" applyFont="1" applyAlignment="1">
      <alignment horizontal="center" vertical="center" wrapText="1"/>
    </xf>
    <xf numFmtId="169" fontId="28" fillId="0" borderId="26" xfId="12" applyNumberFormat="1" applyFont="1" applyBorder="1"/>
    <xf numFmtId="169" fontId="28" fillId="0" borderId="0" xfId="12" applyNumberFormat="1" applyFont="1" applyBorder="1"/>
    <xf numFmtId="169" fontId="28" fillId="0" borderId="6" xfId="12" applyNumberFormat="1" applyFont="1" applyBorder="1"/>
    <xf numFmtId="167" fontId="29" fillId="0" borderId="26" xfId="13" applyNumberFormat="1" applyFont="1" applyBorder="1"/>
    <xf numFmtId="167" fontId="29" fillId="0" borderId="0" xfId="13" applyNumberFormat="1" applyFont="1" applyBorder="1"/>
    <xf numFmtId="167" fontId="29" fillId="0" borderId="6" xfId="13" applyNumberFormat="1" applyFont="1" applyBorder="1"/>
    <xf numFmtId="44" fontId="28" fillId="0" borderId="26" xfId="12" applyFont="1" applyBorder="1"/>
    <xf numFmtId="44" fontId="28" fillId="0" borderId="0" xfId="12" applyFont="1" applyBorder="1"/>
    <xf numFmtId="44" fontId="28" fillId="0" borderId="6" xfId="12" applyFont="1" applyBorder="1"/>
    <xf numFmtId="44" fontId="28" fillId="0" borderId="29" xfId="12" applyFont="1" applyBorder="1"/>
    <xf numFmtId="44" fontId="28" fillId="0" borderId="3" xfId="12" applyFont="1" applyBorder="1"/>
    <xf numFmtId="44" fontId="28" fillId="0" borderId="4" xfId="12" applyFont="1" applyBorder="1"/>
    <xf numFmtId="169" fontId="28" fillId="0" borderId="27" xfId="12" applyNumberFormat="1" applyFont="1" applyBorder="1"/>
    <xf numFmtId="169" fontId="28" fillId="0" borderId="24" xfId="12" applyNumberFormat="1" applyFont="1" applyBorder="1"/>
    <xf numFmtId="169" fontId="28" fillId="0" borderId="23" xfId="12" applyNumberFormat="1" applyFont="1" applyBorder="1"/>
    <xf numFmtId="16" fontId="4" fillId="0" borderId="0" xfId="0" applyNumberFormat="1" applyFont="1" applyAlignment="1">
      <alignment vertical="center" wrapText="1"/>
    </xf>
    <xf numFmtId="0" fontId="0" fillId="11" borderId="0" xfId="0" applyFill="1"/>
    <xf numFmtId="0" fontId="30" fillId="8" borderId="0" xfId="0" applyFont="1" applyFill="1" applyAlignment="1">
      <alignment vertical="center" wrapText="1"/>
    </xf>
    <xf numFmtId="0" fontId="11" fillId="8" borderId="0" xfId="1" applyFill="1" applyAlignment="1">
      <alignment vertical="center" wrapText="1"/>
    </xf>
    <xf numFmtId="0" fontId="31" fillId="8" borderId="0" xfId="0" applyFont="1" applyFill="1" applyAlignment="1">
      <alignment vertical="center" wrapText="1"/>
    </xf>
    <xf numFmtId="0" fontId="32" fillId="8" borderId="0" xfId="0" applyFont="1" applyFill="1" applyAlignment="1">
      <alignment vertical="center" wrapText="1"/>
    </xf>
    <xf numFmtId="0" fontId="11" fillId="8" borderId="0" xfId="1" applyFill="1" applyAlignment="1">
      <alignment horizontal="center" vertical="center" wrapText="1"/>
    </xf>
    <xf numFmtId="10" fontId="28" fillId="0" borderId="0" xfId="0" applyNumberFormat="1" applyFont="1" applyFill="1" applyBorder="1"/>
    <xf numFmtId="10" fontId="28" fillId="0" borderId="32" xfId="0" applyNumberFormat="1" applyFont="1" applyFill="1" applyBorder="1"/>
    <xf numFmtId="10" fontId="28" fillId="0" borderId="0" xfId="13" applyNumberFormat="1" applyFont="1" applyBorder="1"/>
    <xf numFmtId="10" fontId="28" fillId="0" borderId="0" xfId="0" applyNumberFormat="1" applyFont="1" applyBorder="1"/>
    <xf numFmtId="0" fontId="28" fillId="0" borderId="0" xfId="0" applyFont="1" applyBorder="1"/>
    <xf numFmtId="168" fontId="28" fillId="0" borderId="3" xfId="0" applyNumberFormat="1" applyFont="1" applyBorder="1"/>
    <xf numFmtId="168" fontId="28" fillId="0" borderId="0" xfId="15" applyNumberFormat="1" applyFont="1" applyBorder="1"/>
    <xf numFmtId="170" fontId="28" fillId="0" borderId="0" xfId="0" applyNumberFormat="1" applyFont="1" applyBorder="1"/>
    <xf numFmtId="171" fontId="28" fillId="0" borderId="0" xfId="0" applyNumberFormat="1" applyFont="1" applyBorder="1"/>
    <xf numFmtId="171" fontId="28" fillId="0" borderId="3" xfId="0" applyNumberFormat="1" applyFont="1" applyBorder="1"/>
    <xf numFmtId="168" fontId="28" fillId="0" borderId="0" xfId="0" applyNumberFormat="1" applyFont="1" applyBorder="1"/>
    <xf numFmtId="165" fontId="28" fillId="0" borderId="0" xfId="0" applyNumberFormat="1" applyFont="1" applyBorder="1"/>
    <xf numFmtId="169" fontId="28" fillId="0" borderId="12" xfId="12" applyNumberFormat="1" applyFont="1" applyBorder="1"/>
    <xf numFmtId="169" fontId="28" fillId="0" borderId="13" xfId="12" applyNumberFormat="1" applyFont="1" applyBorder="1"/>
    <xf numFmtId="0" fontId="28" fillId="0" borderId="6" xfId="0" applyFont="1" applyBorder="1"/>
    <xf numFmtId="7" fontId="0" fillId="0" borderId="0" xfId="0" applyNumberFormat="1"/>
    <xf numFmtId="0" fontId="20" fillId="4" borderId="2" xfId="0" applyFont="1" applyFill="1" applyBorder="1" applyAlignment="1">
      <alignment horizontal="center"/>
    </xf>
    <xf numFmtId="0" fontId="20" fillId="4" borderId="3" xfId="0" applyFont="1" applyFill="1" applyBorder="1" applyAlignment="1">
      <alignment horizontal="center"/>
    </xf>
    <xf numFmtId="0" fontId="20" fillId="4" borderId="4" xfId="0" applyFont="1" applyFill="1" applyBorder="1" applyAlignment="1">
      <alignment horizontal="center"/>
    </xf>
    <xf numFmtId="0" fontId="20" fillId="4" borderId="2" xfId="0" applyFont="1" applyFill="1" applyBorder="1" applyAlignment="1">
      <alignment horizontal="center" vertical="center"/>
    </xf>
    <xf numFmtId="0" fontId="20" fillId="4" borderId="3" xfId="0" applyFont="1" applyFill="1" applyBorder="1" applyAlignment="1">
      <alignment horizontal="center" vertical="center"/>
    </xf>
    <xf numFmtId="0" fontId="20" fillId="4" borderId="4" xfId="0" applyFont="1" applyFill="1" applyBorder="1" applyAlignment="1">
      <alignment horizontal="center" vertical="center"/>
    </xf>
    <xf numFmtId="0" fontId="20" fillId="4" borderId="0" xfId="0" applyFont="1" applyFill="1" applyBorder="1" applyAlignment="1">
      <alignment horizontal="center"/>
    </xf>
    <xf numFmtId="0" fontId="20" fillId="4" borderId="11" xfId="0" applyFont="1" applyFill="1" applyBorder="1" applyAlignment="1">
      <alignment horizontal="center"/>
    </xf>
    <xf numFmtId="0" fontId="20" fillId="4" borderId="12" xfId="0" applyFont="1" applyFill="1" applyBorder="1" applyAlignment="1">
      <alignment horizontal="center"/>
    </xf>
    <xf numFmtId="0" fontId="20" fillId="4" borderId="13" xfId="0" applyFont="1" applyFill="1" applyBorder="1" applyAlignment="1">
      <alignment horizontal="center"/>
    </xf>
    <xf numFmtId="0" fontId="21" fillId="4" borderId="11" xfId="0" applyFont="1" applyFill="1" applyBorder="1" applyAlignment="1">
      <alignment horizontal="center"/>
    </xf>
    <xf numFmtId="0" fontId="21" fillId="4" borderId="12" xfId="0" applyFont="1" applyFill="1" applyBorder="1" applyAlignment="1">
      <alignment horizontal="center"/>
    </xf>
    <xf numFmtId="0" fontId="21" fillId="4" borderId="13" xfId="0" applyFont="1" applyFill="1" applyBorder="1" applyAlignment="1">
      <alignment horizontal="center"/>
    </xf>
    <xf numFmtId="0" fontId="21" fillId="4" borderId="20" xfId="0" applyFont="1" applyFill="1" applyBorder="1" applyAlignment="1">
      <alignment horizontal="center" vertical="center" textRotation="90"/>
    </xf>
    <xf numFmtId="0" fontId="21" fillId="4" borderId="21" xfId="0" applyFont="1" applyFill="1" applyBorder="1" applyAlignment="1">
      <alignment horizontal="center" vertical="center" textRotation="90"/>
    </xf>
    <xf numFmtId="0" fontId="21" fillId="4" borderId="22" xfId="0" applyFont="1" applyFill="1" applyBorder="1" applyAlignment="1">
      <alignment horizontal="center" vertical="center" textRotation="90"/>
    </xf>
    <xf numFmtId="0" fontId="20" fillId="4" borderId="0" xfId="0" applyFont="1" applyFill="1" applyAlignment="1">
      <alignment horizontal="center" vertical="center"/>
    </xf>
    <xf numFmtId="0" fontId="20" fillId="4" borderId="8" xfId="0" applyFont="1" applyFill="1" applyBorder="1" applyAlignment="1">
      <alignment horizontal="center" vertical="center"/>
    </xf>
    <xf numFmtId="0" fontId="1" fillId="4" borderId="2" xfId="0" applyFont="1" applyFill="1" applyBorder="1" applyAlignment="1">
      <alignment horizontal="center"/>
    </xf>
    <xf numFmtId="0" fontId="1" fillId="4" borderId="3" xfId="0" applyFont="1" applyFill="1" applyBorder="1" applyAlignment="1">
      <alignment horizontal="center"/>
    </xf>
    <xf numFmtId="0" fontId="1" fillId="4" borderId="4" xfId="0" applyFont="1" applyFill="1" applyBorder="1" applyAlignment="1">
      <alignment horizontal="center"/>
    </xf>
    <xf numFmtId="0" fontId="1" fillId="4" borderId="11" xfId="0" applyFont="1" applyFill="1" applyBorder="1" applyAlignment="1">
      <alignment horizont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0" xfId="0" applyFont="1" applyFill="1" applyBorder="1" applyAlignment="1">
      <alignment horizontal="center"/>
    </xf>
    <xf numFmtId="0" fontId="4" fillId="0" borderId="0" xfId="0" applyFont="1" applyAlignment="1">
      <alignment vertical="center" wrapText="1"/>
    </xf>
    <xf numFmtId="0" fontId="8" fillId="0" borderId="0" xfId="0" applyFont="1" applyAlignment="1">
      <alignment vertical="center" wrapText="1"/>
    </xf>
    <xf numFmtId="0" fontId="4" fillId="0" borderId="19" xfId="0" applyFont="1" applyBorder="1" applyAlignment="1">
      <alignment vertical="center" wrapText="1"/>
    </xf>
    <xf numFmtId="0" fontId="0" fillId="0" borderId="19" xfId="0" applyBorder="1" applyAlignment="1">
      <alignment vertical="center" wrapText="1"/>
    </xf>
    <xf numFmtId="0" fontId="0" fillId="0" borderId="18" xfId="0" applyBorder="1" applyAlignment="1">
      <alignment vertical="center" wrapText="1"/>
    </xf>
    <xf numFmtId="0" fontId="0" fillId="0" borderId="0" xfId="0" applyAlignment="1">
      <alignment vertical="center" wrapText="1"/>
    </xf>
    <xf numFmtId="0" fontId="6" fillId="0" borderId="39" xfId="0" applyFont="1" applyBorder="1" applyAlignment="1">
      <alignment vertical="center" wrapText="1"/>
    </xf>
    <xf numFmtId="0" fontId="5" fillId="0" borderId="16" xfId="0" applyFont="1" applyBorder="1" applyAlignment="1">
      <alignment vertical="center" wrapText="1"/>
    </xf>
    <xf numFmtId="0" fontId="11" fillId="0" borderId="17" xfId="1" applyBorder="1" applyAlignment="1">
      <alignment vertical="center" wrapText="1"/>
    </xf>
    <xf numFmtId="0" fontId="6" fillId="0" borderId="0" xfId="0" applyFont="1" applyAlignment="1">
      <alignment vertical="center" wrapText="1"/>
    </xf>
    <xf numFmtId="0" fontId="8" fillId="0" borderId="19" xfId="0" applyFont="1" applyBorder="1" applyAlignment="1">
      <alignment vertical="center" wrapText="1"/>
    </xf>
    <xf numFmtId="0" fontId="24" fillId="0" borderId="0" xfId="0" applyFont="1" applyAlignment="1">
      <alignment vertical="center" wrapText="1"/>
    </xf>
    <xf numFmtId="0" fontId="23" fillId="8" borderId="0" xfId="0" applyFont="1" applyFill="1" applyAlignment="1">
      <alignment horizontal="left" vertical="center"/>
    </xf>
    <xf numFmtId="0" fontId="0" fillId="0" borderId="0" xfId="0"/>
    <xf numFmtId="0" fontId="0" fillId="0" borderId="0" xfId="0" applyAlignment="1">
      <alignment horizontal="center" vertical="center" wrapText="1"/>
    </xf>
    <xf numFmtId="0" fontId="8" fillId="7" borderId="0" xfId="0" applyFont="1" applyFill="1" applyAlignment="1">
      <alignment vertical="center" wrapText="1"/>
    </xf>
    <xf numFmtId="0" fontId="8" fillId="0" borderId="0" xfId="0" applyFont="1" applyAlignment="1">
      <alignment horizontal="left" vertical="center" wrapText="1"/>
    </xf>
    <xf numFmtId="0" fontId="22" fillId="0" borderId="0" xfId="0" applyFont="1" applyAlignment="1">
      <alignment horizontal="left" vertical="center" wrapText="1"/>
    </xf>
    <xf numFmtId="0" fontId="7" fillId="0" borderId="0" xfId="0" applyFont="1" applyAlignment="1">
      <alignment horizontal="left" vertical="center" wrapText="1"/>
    </xf>
    <xf numFmtId="0" fontId="11" fillId="0" borderId="0" xfId="1" applyAlignment="1">
      <alignment horizontal="left" vertical="center" wrapText="1"/>
    </xf>
    <xf numFmtId="0" fontId="4" fillId="0" borderId="0" xfId="0" applyFont="1" applyAlignment="1">
      <alignment horizontal="center" vertical="center" wrapText="1"/>
    </xf>
    <xf numFmtId="0" fontId="8" fillId="0" borderId="0" xfId="0" applyFont="1" applyAlignment="1">
      <alignment horizontal="center" vertical="center" wrapText="1"/>
    </xf>
    <xf numFmtId="0" fontId="6" fillId="0" borderId="0" xfId="0" applyFont="1" applyAlignment="1">
      <alignment horizontal="left" vertical="center" wrapText="1"/>
    </xf>
  </cellXfs>
  <cellStyles count="16">
    <cellStyle name="Comma" xfId="15" builtinId="3"/>
    <cellStyle name="Currency" xfId="12" builtinId="4"/>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4" builtinId="9" hidden="1"/>
    <cellStyle name="Hyperlink" xfId="1" builtinId="8"/>
    <cellStyle name="Normal" xfId="0" builtinId="0"/>
    <cellStyle name="Percent" xfId="1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3</xdr:row>
          <xdr:rowOff>22860</xdr:rowOff>
        </xdr:from>
        <xdr:to>
          <xdr:col>5</xdr:col>
          <xdr:colOff>251460</xdr:colOff>
          <xdr:row>5</xdr:row>
          <xdr:rowOff>30480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Project Free Cash Flows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60960</xdr:colOff>
          <xdr:row>3</xdr:row>
          <xdr:rowOff>30480</xdr:rowOff>
        </xdr:from>
        <xdr:to>
          <xdr:col>11</xdr:col>
          <xdr:colOff>68580</xdr:colOff>
          <xdr:row>5</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Entire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20</xdr:row>
          <xdr:rowOff>60960</xdr:rowOff>
        </xdr:from>
        <xdr:to>
          <xdr:col>4</xdr:col>
          <xdr:colOff>944880</xdr:colOff>
          <xdr:row>22</xdr:row>
          <xdr:rowOff>144780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Calculate WACC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26</xdr:row>
          <xdr:rowOff>114300</xdr:rowOff>
        </xdr:from>
        <xdr:to>
          <xdr:col>4</xdr:col>
          <xdr:colOff>937260</xdr:colOff>
          <xdr:row>29</xdr:row>
          <xdr:rowOff>22860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Calculate Equity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38100</xdr:rowOff>
        </xdr:from>
        <xdr:to>
          <xdr:col>8</xdr:col>
          <xdr:colOff>175260</xdr:colOff>
          <xdr:row>5</xdr:row>
          <xdr:rowOff>22860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Input Own Assumptions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1</xdr:row>
          <xdr:rowOff>0</xdr:rowOff>
        </xdr:from>
        <xdr:to>
          <xdr:col>6</xdr:col>
          <xdr:colOff>1051560</xdr:colOff>
          <xdr:row>1</xdr:row>
          <xdr:rowOff>175260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Need a suggestion?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42</xdr:row>
          <xdr:rowOff>45720</xdr:rowOff>
        </xdr:from>
        <xdr:to>
          <xdr:col>5</xdr:col>
          <xdr:colOff>190500</xdr:colOff>
          <xdr:row>42</xdr:row>
          <xdr:rowOff>350520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 Stock for Comparison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3</xdr:row>
          <xdr:rowOff>0</xdr:rowOff>
        </xdr:from>
        <xdr:to>
          <xdr:col>7</xdr:col>
          <xdr:colOff>0</xdr:colOff>
          <xdr:row>4</xdr:row>
          <xdr:rowOff>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Sensitize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0</xdr:rowOff>
        </xdr:from>
        <xdr:to>
          <xdr:col>10</xdr:col>
          <xdr:colOff>22860</xdr:colOff>
          <xdr:row>4</xdr:row>
          <xdr:rowOff>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3</xdr:row>
          <xdr:rowOff>22860</xdr:rowOff>
        </xdr:from>
        <xdr:to>
          <xdr:col>13</xdr:col>
          <xdr:colOff>68580</xdr:colOff>
          <xdr:row>4</xdr:row>
          <xdr:rowOff>22860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Upside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0</xdr:rowOff>
        </xdr:from>
        <xdr:to>
          <xdr:col>16</xdr:col>
          <xdr:colOff>22860</xdr:colOff>
          <xdr:row>4</xdr:row>
          <xdr:rowOff>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Downside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152400</xdr:colOff>
          <xdr:row>5</xdr:row>
          <xdr:rowOff>38100</xdr:rowOff>
        </xdr:from>
        <xdr:to>
          <xdr:col>7</xdr:col>
          <xdr:colOff>190500</xdr:colOff>
          <xdr:row>7</xdr:row>
          <xdr:rowOff>53340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Remove this stock from comparison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358140</xdr:colOff>
          <xdr:row>25</xdr:row>
          <xdr:rowOff>83820</xdr:rowOff>
        </xdr:from>
        <xdr:to>
          <xdr:col>7</xdr:col>
          <xdr:colOff>365760</xdr:colOff>
          <xdr:row>27</xdr:row>
          <xdr:rowOff>99060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Remove this stock from comparison</a:t>
              </a:r>
            </a:p>
          </xdr:txBody>
        </xdr:sp>
        <xdr:clientData fPrintsWithSheet="0"/>
      </xdr:twoCellAnchor>
    </mc:Choice>
    <mc:Fallback/>
  </mc:AlternateContent>
</xdr:wsDr>
</file>

<file path=xl/queryTables/queryTable1.xml><?xml version="1.0" encoding="utf-8"?>
<queryTable xmlns="http://schemas.openxmlformats.org/spreadsheetml/2006/main" name="ExternalData_44" connectionId="8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6" connectionId="14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lData_40" connectionId="11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lData_42" connectionId="7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lData_36" connectionId="13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lData_39" connectionId="5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lData_48" connectionId="11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lData_17" connectionId="16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lData_37" connectionId="1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lData_12" connectionId="14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lData_23" connectionId="1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lData_46" connectionId="17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lData_4" connectionId="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lData_13" connectionId="14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lData_7" connectionId="11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lData_18" connectionId="17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lData_2" connectionId="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lData_3" connectionId="14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lData_5" connectionId="5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lData_38"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lData_45" connectionId="153"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lData_34" connectionId="4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lData_9" connectionId="12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lData_20" connectionId="18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lData_33" connectionId="3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lData_43" connectionId="7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lData_47" connectionId="9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lData_21" connectionId="19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lData_14" connectionId="13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lData_19" connectionId="18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lData_49" connectionId="10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lData_8" connectionId="12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lData_6" connectionId="11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lData_19" connectionId="1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lData_21" connectionId="3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lData_14" connectionId="16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lData_29" connectionId="6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lData_34" connectionId="1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lData_22" connectionId="4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lData_25" connectionId="3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lData_11" connectionId="16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lData_35" connectionId="9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lData_13" connectionId="15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lData_30" connectionId="7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lData_12" connectionId="11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lData_32" connectionId="8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lData_37" connectionId="10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lData_16" connectionId="18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lData_1" connectionId="10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lData_17" connectionId="18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lData_36" connectionId="14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lData_33" connectionId="11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lData_20" connectionId="1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lData_28" connectionId="16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lData_23" connectionId="2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lData_10" connectionId="13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lData_8" connectionId="12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lData_18" connectionId="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lData_26" connectionId="4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lData_31" connectionId="7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lData_27" connectionId="5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lData_21" connectionId="2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lData_18" connectionId="19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lData_34" connectionId="2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lData_13" connectionId="13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lData_1" connectionId="12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lData_15" connectionId="17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lData_31" connectionId="8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lData_22" connectionId="3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lData_27" connectionId="6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lData_11" connectionId="14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lData_5" connectionId="11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lData_29" connectionId="6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lData_32" connectionId="8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lData_12" connectionId="18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lData_25" connectionId="3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lData_35" connectionId="9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lData_9" connectionId="13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lData_37" connectionId="10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lData_30" connectionId="7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lData_17" connectionId="18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lData_3" connectionId="25"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lData_36" connectionId="15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lData_4" connectionId="8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lData_28" connectionId="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lData_14" connectionId="16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lData_26" connectionId="5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lData_20" connectionId="1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lData_7" connectionId="123"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lData_23" connectionId="4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lData_28" connectionId="6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lData_18" connectionId="19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lData_15" connectionId="17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lData_36" connectionId="10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lData_16" connectionId="18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lData_7" connectionId="13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lData_9" connectionId="14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lData_12" connectionId="11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lData_35" connectionId="1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lData_24" connectionId="3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lData_27" connectionId="6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lData_31" connectionId="8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lData_34" connectionId="9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lData_26" connectionId="5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lData_3" connectionId="10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lData_6" connectionId="12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lData_21" connectionId="2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lData_17" connectionId="18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lData_33" connectionId="17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lData_32" connectionId="9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lData_25" connectionId="4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lData_30" connectionId="7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lData_22" connectionId="3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lData_37" connectionId="10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lData_5" connectionId="11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lData_29" connectionId="7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lData_19" connectionId="19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lData_24" connectionId="4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lData_20" connectionId="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lData_18" connectionId="18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lData_36" connectionId="9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lData_13" connectionId="6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lData_16" connectionId="17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lData_33" connectionId="8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lData_9" connectionId="13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lData_21" connectionId="1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lData_3" connectionId="3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lData_30" connectionId="7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lData_28" connectionId="6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lData_31" connectionId="7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lData_29" connectionId="2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lData_22" connectionId="2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lData_38" connectionId="10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lData_35" connectionId="9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lData_25" connectionId="2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lData_27" connectionId="5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lData_32" connectionId="8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lData_14" connectionId="13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lData_15" connectionId="16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lData_10" connectionId="14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lData_37" connectionId="6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lData_26" connectionId="4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lData_4" connectionId="9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lData_12" connectionId="15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lData_34" connectionId="4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lData_11" connectionId="12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lData_18" connectionId="17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lData_23" connectionId="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lData_19" connectionId="18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lData_37" connectionId="6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lData_36" connectionId="17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lData_33" connectionId="5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lData_21" connectionId="19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lData_26" connectionId="3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lData_32" connectionId="5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lData_38" connectionId="7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lData_25" connectionId="2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lData_13" connectionId="12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lData_17" connectionId="17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lData_1" connectionId="15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lData_9" connectionId="16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lData_3" connectionId="4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lData_15" connectionId="16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lData_14" connectionId="15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lData_4" connectionId="14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lData_30" connectionId="5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lData_28" connectionId="2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lData_12" connectionId="12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lData_46" connectionId="10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lData_42" connectionId="1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lData_31" connectionId="5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lData_7" connectionId="15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ternalData_29" connectionId="3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ternalData_24" connectionId="1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ternalData_20" connectionId="19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ternalData_44" connectionId="9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ternalData_8" connectionId="16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lData_35" connectionId="6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ternalData_45" connectionId="14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lData_5" connectionId="15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ternalData_16" connectionId="16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ternalData_43" connectionId="9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ternalData_22" connectionId="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lData_6" connectionId="15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ternalData_39" connectionId="8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lData_2" connectionId="13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ternalData_10" connectionId="17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ternalData_27" connectionId="4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ternalData_41" connectionId="12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lData_40" connectionId="8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3" Type="http://schemas.openxmlformats.org/officeDocument/2006/relationships/queryTable" Target="../queryTables/queryTable8.xml"/><Relationship Id="rId18" Type="http://schemas.openxmlformats.org/officeDocument/2006/relationships/queryTable" Target="../queryTables/queryTable13.xml"/><Relationship Id="rId26" Type="http://schemas.openxmlformats.org/officeDocument/2006/relationships/queryTable" Target="../queryTables/queryTable21.xml"/><Relationship Id="rId21" Type="http://schemas.openxmlformats.org/officeDocument/2006/relationships/queryTable" Target="../queryTables/queryTable16.xml"/><Relationship Id="rId34" Type="http://schemas.openxmlformats.org/officeDocument/2006/relationships/queryTable" Target="../queryTables/queryTable29.xml"/><Relationship Id="rId7" Type="http://schemas.openxmlformats.org/officeDocument/2006/relationships/queryTable" Target="../queryTables/queryTable2.xml"/><Relationship Id="rId12" Type="http://schemas.openxmlformats.org/officeDocument/2006/relationships/queryTable" Target="../queryTables/queryTable7.xml"/><Relationship Id="rId17" Type="http://schemas.openxmlformats.org/officeDocument/2006/relationships/queryTable" Target="../queryTables/queryTable12.xml"/><Relationship Id="rId25" Type="http://schemas.openxmlformats.org/officeDocument/2006/relationships/queryTable" Target="../queryTables/queryTable20.xml"/><Relationship Id="rId33" Type="http://schemas.openxmlformats.org/officeDocument/2006/relationships/queryTable" Target="../queryTables/queryTable28.xml"/><Relationship Id="rId38" Type="http://schemas.openxmlformats.org/officeDocument/2006/relationships/queryTable" Target="../queryTables/queryTable33.xml"/><Relationship Id="rId2" Type="http://schemas.openxmlformats.org/officeDocument/2006/relationships/hyperlink" Target="http://clicks.beap.bc.yahoo.com/yc/YnY9MS4wLjAmYnM9KDE3c2ZlMWEzYyhnaWQkbS5ES3REWTVMakdCZUJ2Y1ZFVW1SUUFFTVRJNUxsUjNJVVhfX3d1VSxzdCQxNDE3MDkzNDQ1NDIxNzI2LHNpJDQ0NTEwNTEsc3AkOTU5NDE0NDAsY3IkNDI3ODEyMDU1MSx2JDIuMCxhaWQkZ0ZsRUUyS0w0TkktLGN0JDI1LHlieCRfcy4udjBkdlFvTHlIOV83Z2VKWDNnLGJpJDIxNDk3MjIwNTEsbW1lJDkwNzQ1MTIzNDkxMzcwNDg3OTcsbG5nJGVuLXVzLHIkMSxyZCQxNHE0MXNzb2oseW9vJDEsYWdwJDMyODcyNzc1NTEsYXAkRkIyKSk/1/*https:/ad.wsod.com/click/577da7fee6e9ff57afc5f23882acdf54/60.0.img.120x60/1417093445.463194?yud=&amp;encver=$%7bENC_VERSION%7d&amp;encalgo=$%7bENC_ALGO%7d&amp;app=apt&amp;intf=1" TargetMode="External"/><Relationship Id="rId16" Type="http://schemas.openxmlformats.org/officeDocument/2006/relationships/queryTable" Target="../queryTables/queryTable11.xml"/><Relationship Id="rId20" Type="http://schemas.openxmlformats.org/officeDocument/2006/relationships/queryTable" Target="../queryTables/queryTable15.xml"/><Relationship Id="rId29" Type="http://schemas.openxmlformats.org/officeDocument/2006/relationships/queryTable" Target="../queryTables/queryTable24.xml"/><Relationship Id="rId1" Type="http://schemas.openxmlformats.org/officeDocument/2006/relationships/hyperlink" Target="http://clicks.beap.bc.yahoo.com/yc/YnY9MS4wLjAmYnM9KDE3c2NmYmVzcShnaWQkbS5ES3REWTVMakdCZUJ2Y1ZFVW1SUUFFTVRJNUxsUjNJVVhfX3d1VSxzdCQxNDE3MDkzNDQ1NDIxNzI2LHNpJDQ0NTEwNTEsc3AkOTU5NDE0NDAsY3IkNDI5MzE3ODA1MSx2JDIuMCxhaWQkVFBSREUyS0w0TkktLGN0JDI1LHlieCRfcy4udjBkdlFvTHlIOV83Z2VKWDNnLGJpJDIxNzgwODg1NTEsbW1lJDkxOTMzNDMzNTY3OTkxOTg0ODksbG5nJGVuLXVzLHIkMSxyZCQxNGJ0N29ncGIseW9vJDEsYWdwJDMzMzMzNTMwNTEsYXAkRkIyKSk/1/*https:/ad.wsod.com/click/8bec9b10877d5d7fd7c0fb6e6a631357/1542.0.img.120x60/?yud=&amp;encver=$%7bENC_VERSION%7d&amp;encalgo=$%7bENC_ALGO%7d&amp;app=apt&amp;intf=1" TargetMode="External"/><Relationship Id="rId6" Type="http://schemas.openxmlformats.org/officeDocument/2006/relationships/queryTable" Target="../queryTables/queryTable1.xml"/><Relationship Id="rId11" Type="http://schemas.openxmlformats.org/officeDocument/2006/relationships/queryTable" Target="../queryTables/queryTable6.xml"/><Relationship Id="rId24" Type="http://schemas.openxmlformats.org/officeDocument/2006/relationships/queryTable" Target="../queryTables/queryTable19.xml"/><Relationship Id="rId32" Type="http://schemas.openxmlformats.org/officeDocument/2006/relationships/queryTable" Target="../queryTables/queryTable27.xml"/><Relationship Id="rId37" Type="http://schemas.openxmlformats.org/officeDocument/2006/relationships/queryTable" Target="../queryTables/queryTable32.xml"/><Relationship Id="rId5" Type="http://schemas.openxmlformats.org/officeDocument/2006/relationships/printerSettings" Target="../printerSettings/printerSettings4.bin"/><Relationship Id="rId15" Type="http://schemas.openxmlformats.org/officeDocument/2006/relationships/queryTable" Target="../queryTables/queryTable10.xml"/><Relationship Id="rId23" Type="http://schemas.openxmlformats.org/officeDocument/2006/relationships/queryTable" Target="../queryTables/queryTable18.xml"/><Relationship Id="rId28" Type="http://schemas.openxmlformats.org/officeDocument/2006/relationships/queryTable" Target="../queryTables/queryTable23.xml"/><Relationship Id="rId36" Type="http://schemas.openxmlformats.org/officeDocument/2006/relationships/queryTable" Target="../queryTables/queryTable31.xml"/><Relationship Id="rId10" Type="http://schemas.openxmlformats.org/officeDocument/2006/relationships/queryTable" Target="../queryTables/queryTable5.xml"/><Relationship Id="rId19" Type="http://schemas.openxmlformats.org/officeDocument/2006/relationships/queryTable" Target="../queryTables/queryTable14.xml"/><Relationship Id="rId31" Type="http://schemas.openxmlformats.org/officeDocument/2006/relationships/queryTable" Target="../queryTables/queryTable26.xml"/><Relationship Id="rId4" Type="http://schemas.openxmlformats.org/officeDocument/2006/relationships/hyperlink" Target="http://help.yahoo.com/l/us/yahoo/finance/quotes/fitadelay.html" TargetMode="External"/><Relationship Id="rId9" Type="http://schemas.openxmlformats.org/officeDocument/2006/relationships/queryTable" Target="../queryTables/queryTable4.xml"/><Relationship Id="rId14" Type="http://schemas.openxmlformats.org/officeDocument/2006/relationships/queryTable" Target="../queryTables/queryTable9.xml"/><Relationship Id="rId22" Type="http://schemas.openxmlformats.org/officeDocument/2006/relationships/queryTable" Target="../queryTables/queryTable17.xml"/><Relationship Id="rId27" Type="http://schemas.openxmlformats.org/officeDocument/2006/relationships/queryTable" Target="../queryTables/queryTable22.xml"/><Relationship Id="rId30" Type="http://schemas.openxmlformats.org/officeDocument/2006/relationships/queryTable" Target="../queryTables/queryTable25.xml"/><Relationship Id="rId35" Type="http://schemas.openxmlformats.org/officeDocument/2006/relationships/queryTable" Target="../queryTables/queryTable30.xml"/><Relationship Id="rId8" Type="http://schemas.openxmlformats.org/officeDocument/2006/relationships/queryTable" Target="../queryTables/queryTable3.xml"/><Relationship Id="rId3" Type="http://schemas.openxmlformats.org/officeDocument/2006/relationships/hyperlink" Target="http://finance.yahoo.com/q/is?s=MSFT" TargetMode="External"/></Relationships>
</file>

<file path=xl/worksheets/_rels/sheet6.xml.rels><?xml version="1.0" encoding="UTF-8" standalone="yes"?>
<Relationships xmlns="http://schemas.openxmlformats.org/package/2006/relationships"><Relationship Id="rId8" Type="http://schemas.openxmlformats.org/officeDocument/2006/relationships/queryTable" Target="../queryTables/queryTable37.xml"/><Relationship Id="rId13" Type="http://schemas.openxmlformats.org/officeDocument/2006/relationships/queryTable" Target="../queryTables/queryTable42.xml"/><Relationship Id="rId18" Type="http://schemas.openxmlformats.org/officeDocument/2006/relationships/queryTable" Target="../queryTables/queryTable47.xml"/><Relationship Id="rId26" Type="http://schemas.openxmlformats.org/officeDocument/2006/relationships/queryTable" Target="../queryTables/queryTable55.xml"/><Relationship Id="rId3" Type="http://schemas.openxmlformats.org/officeDocument/2006/relationships/hyperlink" Target="http://finance.yahoo.com/q/bs?s=MSFT" TargetMode="External"/><Relationship Id="rId21" Type="http://schemas.openxmlformats.org/officeDocument/2006/relationships/queryTable" Target="../queryTables/queryTable50.xml"/><Relationship Id="rId7" Type="http://schemas.openxmlformats.org/officeDocument/2006/relationships/queryTable" Target="../queryTables/queryTable36.xml"/><Relationship Id="rId12" Type="http://schemas.openxmlformats.org/officeDocument/2006/relationships/queryTable" Target="../queryTables/queryTable41.xml"/><Relationship Id="rId17" Type="http://schemas.openxmlformats.org/officeDocument/2006/relationships/queryTable" Target="../queryTables/queryTable46.xml"/><Relationship Id="rId25" Type="http://schemas.openxmlformats.org/officeDocument/2006/relationships/queryTable" Target="../queryTables/queryTable54.xml"/><Relationship Id="rId2" Type="http://schemas.openxmlformats.org/officeDocument/2006/relationships/hyperlink" Target="http://clicks.beap.bc.yahoo.com/yc/YnY9MS4wLjAmYnM9KDE3c2hsbmFuYyhnaWQkQ2VoSGh6WTVMakdCZUJ2Y1ZFVW1SUU1LTVRJNUxsUjNJVVhfX3d4WSxzdCQxNDE3MDkzNDQ1NzUzNDQ0LHNpJDQ0NTEwNTEsc3AkOTU5NDE0NDMsY3IkNDI5MzE3ODA1MSx2JDIuMCxhaWQkaGVwMmYyS0xGLlUtLGN0JDI1LHlieCRfcy4udjBkdlFvTHlIOV83Z2VKWDNnLGJpJDIxNzgwODg1NTEsbW1lJDkxOTMzNDMzNTY3OTkxOTg0ODksbG5nJGVuLXVzLHIkMSxyZCQxNGJ0N29ncGIseW9vJDEsYWdwJDMzMzMzNTMwNTEsYXAkRkIyKSk/1/*https:/ad.wsod.com/click/8bec9b10877d5d7fd7c0fb6e6a631357/1542.0.img.120x60/?yud=&amp;encver=$%7bENC_VERSION%7d&amp;encalgo=$%7bENC_ALGO%7d&amp;app=apt&amp;intf=1" TargetMode="External"/><Relationship Id="rId16" Type="http://schemas.openxmlformats.org/officeDocument/2006/relationships/queryTable" Target="../queryTables/queryTable45.xml"/><Relationship Id="rId20" Type="http://schemas.openxmlformats.org/officeDocument/2006/relationships/queryTable" Target="../queryTables/queryTable49.xml"/><Relationship Id="rId29" Type="http://schemas.openxmlformats.org/officeDocument/2006/relationships/queryTable" Target="../queryTables/queryTable58.xml"/><Relationship Id="rId1" Type="http://schemas.openxmlformats.org/officeDocument/2006/relationships/hyperlink" Target="http://clicks.beap.bc.yahoo.com/yc/YnY9MS4wLjAmYnM9KDE3c2ZjbnVoYShnaWQkQ2VoSGh6WTVMakdCZUJ2Y1ZFVW1SUU1LTVRJNUxsUjNJVVhfX3d4WSxzdCQxNDE3MDkzNDQ1NzUzNDQ0LHNpJDQ0NTEwNTEsc3AkOTU5NDE0NDMsY3IkNDI3ODEyMDU1MSx2JDIuMCxhaWQkMHVWMmYyS0xGLlUtLGN0JDI1LHlieCRfcy4udjBkdlFvTHlIOV83Z2VKWDNnLGJpJDIxNDk3MjIwNTEsbW1lJDkwNzQ1MTIzNDkxMzcwNDg3OTcsbG5nJGVuLXVzLHIkMSxyZCQxNHF2OHAxODYseW9vJDEsYWdwJDMyODcyNzc1NTEsYXAkRkIyKSk/1/*https:/ad.wsod.com/click/577da7fee6e9ff57afc5f23882acdf54/60.0.img.120x60/1417093445.798791?yud=&amp;encver=$%7bENC_VERSION%7d&amp;encalgo=$%7bENC_ALGO%7d&amp;app=apt&amp;intf=1" TargetMode="External"/><Relationship Id="rId6" Type="http://schemas.openxmlformats.org/officeDocument/2006/relationships/queryTable" Target="../queryTables/queryTable35.xml"/><Relationship Id="rId11" Type="http://schemas.openxmlformats.org/officeDocument/2006/relationships/queryTable" Target="../queryTables/queryTable40.xml"/><Relationship Id="rId24" Type="http://schemas.openxmlformats.org/officeDocument/2006/relationships/queryTable" Target="../queryTables/queryTable53.xml"/><Relationship Id="rId32" Type="http://schemas.openxmlformats.org/officeDocument/2006/relationships/queryTable" Target="../queryTables/queryTable61.xml"/><Relationship Id="rId5" Type="http://schemas.openxmlformats.org/officeDocument/2006/relationships/queryTable" Target="../queryTables/queryTable34.xml"/><Relationship Id="rId15" Type="http://schemas.openxmlformats.org/officeDocument/2006/relationships/queryTable" Target="../queryTables/queryTable44.xml"/><Relationship Id="rId23" Type="http://schemas.openxmlformats.org/officeDocument/2006/relationships/queryTable" Target="../queryTables/queryTable52.xml"/><Relationship Id="rId28" Type="http://schemas.openxmlformats.org/officeDocument/2006/relationships/queryTable" Target="../queryTables/queryTable57.xml"/><Relationship Id="rId10" Type="http://schemas.openxmlformats.org/officeDocument/2006/relationships/queryTable" Target="../queryTables/queryTable39.xml"/><Relationship Id="rId19" Type="http://schemas.openxmlformats.org/officeDocument/2006/relationships/queryTable" Target="../queryTables/queryTable48.xml"/><Relationship Id="rId31" Type="http://schemas.openxmlformats.org/officeDocument/2006/relationships/queryTable" Target="../queryTables/queryTable60.xml"/><Relationship Id="rId4" Type="http://schemas.openxmlformats.org/officeDocument/2006/relationships/hyperlink" Target="http://help.yahoo.com/l/us/yahoo/finance/quotes/fitadelay.html" TargetMode="External"/><Relationship Id="rId9" Type="http://schemas.openxmlformats.org/officeDocument/2006/relationships/queryTable" Target="../queryTables/queryTable38.xml"/><Relationship Id="rId14" Type="http://schemas.openxmlformats.org/officeDocument/2006/relationships/queryTable" Target="../queryTables/queryTable43.xml"/><Relationship Id="rId22" Type="http://schemas.openxmlformats.org/officeDocument/2006/relationships/queryTable" Target="../queryTables/queryTable51.xml"/><Relationship Id="rId27" Type="http://schemas.openxmlformats.org/officeDocument/2006/relationships/queryTable" Target="../queryTables/queryTable56.xml"/><Relationship Id="rId30" Type="http://schemas.openxmlformats.org/officeDocument/2006/relationships/queryTable" Target="../queryTables/queryTable59.xml"/></Relationships>
</file>

<file path=xl/worksheets/_rels/sheet7.xml.rels><?xml version="1.0" encoding="UTF-8" standalone="yes"?>
<Relationships xmlns="http://schemas.openxmlformats.org/package/2006/relationships"><Relationship Id="rId8" Type="http://schemas.openxmlformats.org/officeDocument/2006/relationships/queryTable" Target="../queryTables/queryTable65.xml"/><Relationship Id="rId13" Type="http://schemas.openxmlformats.org/officeDocument/2006/relationships/queryTable" Target="../queryTables/queryTable70.xml"/><Relationship Id="rId18" Type="http://schemas.openxmlformats.org/officeDocument/2006/relationships/queryTable" Target="../queryTables/queryTable75.xml"/><Relationship Id="rId26" Type="http://schemas.openxmlformats.org/officeDocument/2006/relationships/queryTable" Target="../queryTables/queryTable83.xml"/><Relationship Id="rId3" Type="http://schemas.openxmlformats.org/officeDocument/2006/relationships/hyperlink" Target="http://finance.yahoo.com/q/cf?s=MSFT" TargetMode="External"/><Relationship Id="rId21" Type="http://schemas.openxmlformats.org/officeDocument/2006/relationships/queryTable" Target="../queryTables/queryTable78.xml"/><Relationship Id="rId7" Type="http://schemas.openxmlformats.org/officeDocument/2006/relationships/queryTable" Target="../queryTables/queryTable64.xml"/><Relationship Id="rId12" Type="http://schemas.openxmlformats.org/officeDocument/2006/relationships/queryTable" Target="../queryTables/queryTable69.xml"/><Relationship Id="rId17" Type="http://schemas.openxmlformats.org/officeDocument/2006/relationships/queryTable" Target="../queryTables/queryTable74.xml"/><Relationship Id="rId25" Type="http://schemas.openxmlformats.org/officeDocument/2006/relationships/queryTable" Target="../queryTables/queryTable82.xml"/><Relationship Id="rId2" Type="http://schemas.openxmlformats.org/officeDocument/2006/relationships/hyperlink" Target="http://clicks.beap.bc.yahoo.com/yc/YnY9MS4wLjAmYnM9KDE3czRnNDBrcShnaWQkakk3a1ZUWTVMakdCZUJ2Y1ZFVW1SUVBSTVRJNUxsUjNJVWJfX3d2TSxzdCQxNDE3MDkzNDQ2NDcyNTM4LHNpJDQ0NTEwNTEsc3AkOTU5NDE0NTcsY3IkNDI3ODEyMDU1MSx2JDIuMCxhaWQkNjR2VzBHS0w0SXctLGN0JDI1LHlieCRhUi5TLllmcFJlSmJxYk90enNjWmNnLGJpJDIxNDk3MjIwNTEsbW1lJDkwNzQ1MTIzNDkxMzcwNDg3OTcsbG5nJGVuLXVzLHIkMSxyZCQxNHEzbThwZWQseW9vJDEsYWdwJDMyODcyNzc1NTEsYXAkRkIyKSk/1/*https:/ad.wsod.com/click/577da7fee6e9ff57afc5f23882acdf54/60.0.img.120x60/1417093446.507864?yud=&amp;encver=$%7bENC_VERSION%7d&amp;encalgo=$%7bENC_ALGO%7d&amp;app=apt&amp;intf=1" TargetMode="External"/><Relationship Id="rId16" Type="http://schemas.openxmlformats.org/officeDocument/2006/relationships/queryTable" Target="../queryTables/queryTable73.xml"/><Relationship Id="rId20" Type="http://schemas.openxmlformats.org/officeDocument/2006/relationships/queryTable" Target="../queryTables/queryTable77.xml"/><Relationship Id="rId29" Type="http://schemas.openxmlformats.org/officeDocument/2006/relationships/queryTable" Target="../queryTables/queryTable86.xml"/><Relationship Id="rId1" Type="http://schemas.openxmlformats.org/officeDocument/2006/relationships/hyperlink" Target="http://clicks.beap.bc.yahoo.com/yc/YnY9MS4wLjAmYnM9KDE3c3YzdWR0dShnaWQkakk3a1ZUWTVMakdCZUJ2Y1ZFVW1SUVBSTVRJNUxsUjNJVWJfX3d2TSxzdCQxNDE3MDkzNDQ2NDcyNTM4LHNpJDQ0NTEwNTEsc3AkOTU5NDE0NTcsY3IkNDI5MzE3ODA1MSx2JDIuMCxhaWQkLlozVjBHS0w0SXctLGN0JDI1LHlieCRhUi5TLllmcFJlSmJxYk90enNjWmNnLGJpJDIxNzgwODg1NTEsbW1lJDkxOTMzNDMzNTY3OTkxOTg0ODksbG5nJGVuLXVzLHIkMSxyZCQxNGJ0N29ncGIseW9vJDEsYWdwJDMzMzMzNTMwNTEsYXAkRkIyKSk/1/*https:/ad.wsod.com/click/8bec9b10877d5d7fd7c0fb6e6a631357/1542.0.img.120x60/?yud=&amp;encver=$%7bENC_VERSION%7d&amp;encalgo=$%7bENC_ALGO%7d&amp;app=apt&amp;intf=1" TargetMode="External"/><Relationship Id="rId6" Type="http://schemas.openxmlformats.org/officeDocument/2006/relationships/queryTable" Target="../queryTables/queryTable63.xml"/><Relationship Id="rId11" Type="http://schemas.openxmlformats.org/officeDocument/2006/relationships/queryTable" Target="../queryTables/queryTable68.xml"/><Relationship Id="rId24" Type="http://schemas.openxmlformats.org/officeDocument/2006/relationships/queryTable" Target="../queryTables/queryTable81.xml"/><Relationship Id="rId32" Type="http://schemas.openxmlformats.org/officeDocument/2006/relationships/queryTable" Target="../queryTables/queryTable89.xml"/><Relationship Id="rId5" Type="http://schemas.openxmlformats.org/officeDocument/2006/relationships/queryTable" Target="../queryTables/queryTable62.xml"/><Relationship Id="rId15" Type="http://schemas.openxmlformats.org/officeDocument/2006/relationships/queryTable" Target="../queryTables/queryTable72.xml"/><Relationship Id="rId23" Type="http://schemas.openxmlformats.org/officeDocument/2006/relationships/queryTable" Target="../queryTables/queryTable80.xml"/><Relationship Id="rId28" Type="http://schemas.openxmlformats.org/officeDocument/2006/relationships/queryTable" Target="../queryTables/queryTable85.xml"/><Relationship Id="rId10" Type="http://schemas.openxmlformats.org/officeDocument/2006/relationships/queryTable" Target="../queryTables/queryTable67.xml"/><Relationship Id="rId19" Type="http://schemas.openxmlformats.org/officeDocument/2006/relationships/queryTable" Target="../queryTables/queryTable76.xml"/><Relationship Id="rId31" Type="http://schemas.openxmlformats.org/officeDocument/2006/relationships/queryTable" Target="../queryTables/queryTable88.xml"/><Relationship Id="rId4" Type="http://schemas.openxmlformats.org/officeDocument/2006/relationships/hyperlink" Target="http://help.yahoo.com/l/us/yahoo/finance/quotes/fitadelay.html" TargetMode="External"/><Relationship Id="rId9" Type="http://schemas.openxmlformats.org/officeDocument/2006/relationships/queryTable" Target="../queryTables/queryTable66.xml"/><Relationship Id="rId14" Type="http://schemas.openxmlformats.org/officeDocument/2006/relationships/queryTable" Target="../queryTables/queryTable71.xml"/><Relationship Id="rId22" Type="http://schemas.openxmlformats.org/officeDocument/2006/relationships/queryTable" Target="../queryTables/queryTable79.xml"/><Relationship Id="rId27" Type="http://schemas.openxmlformats.org/officeDocument/2006/relationships/queryTable" Target="../queryTables/queryTable84.xml"/><Relationship Id="rId30" Type="http://schemas.openxmlformats.org/officeDocument/2006/relationships/queryTable" Target="../queryTables/queryTable87.xml"/></Relationships>
</file>

<file path=xl/worksheets/_rels/sheet8.xml.rels><?xml version="1.0" encoding="UTF-8" standalone="yes"?>
<Relationships xmlns="http://schemas.openxmlformats.org/package/2006/relationships"><Relationship Id="rId8" Type="http://schemas.openxmlformats.org/officeDocument/2006/relationships/queryTable" Target="../queryTables/queryTable92.xml"/><Relationship Id="rId13" Type="http://schemas.openxmlformats.org/officeDocument/2006/relationships/queryTable" Target="../queryTables/queryTable97.xml"/><Relationship Id="rId18" Type="http://schemas.openxmlformats.org/officeDocument/2006/relationships/queryTable" Target="../queryTables/queryTable102.xml"/><Relationship Id="rId26" Type="http://schemas.openxmlformats.org/officeDocument/2006/relationships/queryTable" Target="../queryTables/queryTable110.xml"/><Relationship Id="rId3" Type="http://schemas.openxmlformats.org/officeDocument/2006/relationships/hyperlink" Target="http://162307.r.msn.com/?ld=b2aP53-nEQFh7k3Ta-csztxTVUCUzYOLkWxfJPP5tME0k0WQt22sBFgAtJAnQ4p4I9Vq1UVm99gcSBSs9H-1JYU-Pd40mu99BBWWXXdBBpeKsNknQtc9OI5iUhew_p5S-vqHu8dQ&amp;u=www.lumosity.com%2flanding%3frefer%3d9740%26ll_ad_id%3d1662%26Device%3d%7bDevice%7d%26Query%3d" TargetMode="External"/><Relationship Id="rId21" Type="http://schemas.openxmlformats.org/officeDocument/2006/relationships/queryTable" Target="../queryTables/queryTable105.xml"/><Relationship Id="rId7" Type="http://schemas.openxmlformats.org/officeDocument/2006/relationships/queryTable" Target="../queryTables/queryTable91.xml"/><Relationship Id="rId12" Type="http://schemas.openxmlformats.org/officeDocument/2006/relationships/queryTable" Target="../queryTables/queryTable96.xml"/><Relationship Id="rId17" Type="http://schemas.openxmlformats.org/officeDocument/2006/relationships/queryTable" Target="../queryTables/queryTable101.xml"/><Relationship Id="rId25" Type="http://schemas.openxmlformats.org/officeDocument/2006/relationships/queryTable" Target="../queryTables/queryTable109.xml"/><Relationship Id="rId2" Type="http://schemas.openxmlformats.org/officeDocument/2006/relationships/hyperlink" Target="http://3312915.r.msn.com/?ld=b2PMN1jVbBFKw1d4F90Nu6YzVUCUyrwBUarXVw89Xxqx0DQkIdD7thChXpMAj2imzt50twUyBIKcBv-Re7MBhoCTsJA2XrNPeDCHZZgR66qfulH7Jnm3k6RP4X5c9BmDBrQ56lkQ&amp;u=statsgt3.com%2fbase.php%3fc%3d231%26key%3d1a4869f4dac93b658aa2016f911d2c28%26keyword%3danti+aging+vitamins%26ad%3d3" TargetMode="External"/><Relationship Id="rId16" Type="http://schemas.openxmlformats.org/officeDocument/2006/relationships/queryTable" Target="../queryTables/queryTable100.xml"/><Relationship Id="rId20" Type="http://schemas.openxmlformats.org/officeDocument/2006/relationships/queryTable" Target="../queryTables/queryTable104.xml"/><Relationship Id="rId29" Type="http://schemas.openxmlformats.org/officeDocument/2006/relationships/queryTable" Target="../queryTables/queryTable113.xml"/><Relationship Id="rId1" Type="http://schemas.openxmlformats.org/officeDocument/2006/relationships/hyperlink" Target="http://5553.r.msn.com/?ld=b29RsWmvdAIx8nh6-YuqppaTVUCUzOCXAZwzl0HFY9I913wleLNF_fIZ5PU8IkL4VZ_59FVjnEkwaWCbpiCCWIuFGpao-qVY-j5hBToE1A0dl6F5d9LsxddhECw5YdHbm3zSI6IQ&amp;u=www.lawdepot.ca%2fcontracts%2fincorporation-package-ontario%2f%3floc%3dCA%26pid%3dmsnppc-ontcor_caon-generic_a3-msnkey_stock+certificates%26utm_source%3dbing%26utm_medium%3dcpc" TargetMode="External"/><Relationship Id="rId6" Type="http://schemas.openxmlformats.org/officeDocument/2006/relationships/queryTable" Target="../queryTables/queryTable90.xml"/><Relationship Id="rId11" Type="http://schemas.openxmlformats.org/officeDocument/2006/relationships/queryTable" Target="../queryTables/queryTable95.xml"/><Relationship Id="rId24" Type="http://schemas.openxmlformats.org/officeDocument/2006/relationships/queryTable" Target="../queryTables/queryTable108.xml"/><Relationship Id="rId32" Type="http://schemas.openxmlformats.org/officeDocument/2006/relationships/queryTable" Target="../queryTables/queryTable116.xml"/><Relationship Id="rId5" Type="http://schemas.openxmlformats.org/officeDocument/2006/relationships/hyperlink" Target="http://help.yahoo.com/l/us/yahoo/finance/quotes/fitadelay.html" TargetMode="External"/><Relationship Id="rId15" Type="http://schemas.openxmlformats.org/officeDocument/2006/relationships/queryTable" Target="../queryTables/queryTable99.xml"/><Relationship Id="rId23" Type="http://schemas.openxmlformats.org/officeDocument/2006/relationships/queryTable" Target="../queryTables/queryTable107.xml"/><Relationship Id="rId28" Type="http://schemas.openxmlformats.org/officeDocument/2006/relationships/queryTable" Target="../queryTables/queryTable112.xml"/><Relationship Id="rId10" Type="http://schemas.openxmlformats.org/officeDocument/2006/relationships/queryTable" Target="../queryTables/queryTable94.xml"/><Relationship Id="rId19" Type="http://schemas.openxmlformats.org/officeDocument/2006/relationships/queryTable" Target="../queryTables/queryTable103.xml"/><Relationship Id="rId31" Type="http://schemas.openxmlformats.org/officeDocument/2006/relationships/queryTable" Target="../queryTables/queryTable115.xml"/><Relationship Id="rId4" Type="http://schemas.openxmlformats.org/officeDocument/2006/relationships/hyperlink" Target="http://help.yahoo.com/help/fin/fnews/fnews-14.html" TargetMode="External"/><Relationship Id="rId9" Type="http://schemas.openxmlformats.org/officeDocument/2006/relationships/queryTable" Target="../queryTables/queryTable93.xml"/><Relationship Id="rId14" Type="http://schemas.openxmlformats.org/officeDocument/2006/relationships/queryTable" Target="../queryTables/queryTable98.xml"/><Relationship Id="rId22" Type="http://schemas.openxmlformats.org/officeDocument/2006/relationships/queryTable" Target="../queryTables/queryTable106.xml"/><Relationship Id="rId27" Type="http://schemas.openxmlformats.org/officeDocument/2006/relationships/queryTable" Target="../queryTables/queryTable111.xml"/><Relationship Id="rId30" Type="http://schemas.openxmlformats.org/officeDocument/2006/relationships/queryTable" Target="../queryTables/queryTable114.xml"/></Relationships>
</file>

<file path=xl/worksheets/_rels/sheet9.xml.rels><?xml version="1.0" encoding="UTF-8" standalone="yes"?>
<Relationships xmlns="http://schemas.openxmlformats.org/package/2006/relationships"><Relationship Id="rId13" Type="http://schemas.openxmlformats.org/officeDocument/2006/relationships/queryTable" Target="../queryTables/queryTable124.xml"/><Relationship Id="rId18" Type="http://schemas.openxmlformats.org/officeDocument/2006/relationships/queryTable" Target="../queryTables/queryTable129.xml"/><Relationship Id="rId26" Type="http://schemas.openxmlformats.org/officeDocument/2006/relationships/queryTable" Target="../queryTables/queryTable137.xml"/><Relationship Id="rId3" Type="http://schemas.openxmlformats.org/officeDocument/2006/relationships/hyperlink" Target="http://us.rd.yahoo.com/finance/capiq/SIG=10r7m9m4m/*http:/www.capitaliq.com/" TargetMode="External"/><Relationship Id="rId21" Type="http://schemas.openxmlformats.org/officeDocument/2006/relationships/queryTable" Target="../queryTables/queryTable132.xml"/><Relationship Id="rId7" Type="http://schemas.openxmlformats.org/officeDocument/2006/relationships/queryTable" Target="../queryTables/queryTable118.xml"/><Relationship Id="rId12" Type="http://schemas.openxmlformats.org/officeDocument/2006/relationships/queryTable" Target="../queryTables/queryTable123.xml"/><Relationship Id="rId17" Type="http://schemas.openxmlformats.org/officeDocument/2006/relationships/queryTable" Target="../queryTables/queryTable128.xml"/><Relationship Id="rId25" Type="http://schemas.openxmlformats.org/officeDocument/2006/relationships/queryTable" Target="../queryTables/queryTable136.xml"/><Relationship Id="rId33" Type="http://schemas.openxmlformats.org/officeDocument/2006/relationships/queryTable" Target="../queryTables/queryTable144.xml"/><Relationship Id="rId2" Type="http://schemas.openxmlformats.org/officeDocument/2006/relationships/hyperlink" Target="http://clicks.beap.bc.yahoo.com/yc/YnY9MS4wLjAmYnM9KDE3czN0Z3ZoZShnaWQkQnJjMmp6WTVMakdCZUJ2Y1ZFVW1SUUNGTVRJNUxsUjNJVWJfX3d4QSxzdCQxNDE3MDkzNDQ4MTI5MjYwLHNpJDQ0NTEwNTEsc3AkOTU5NDEzNTMsY3IkNDI5MzE3ODA1MSx2JDIuMCxhaWQkV2pxUGhHS0w0SlUtLGN0JDI1LHlieCRXYmxCQWpOQlBZU0FKTTg5aG1RTUhRLGJpJDIxNzgwODg1NTEsbW1lJDkxOTMzNDMzNTY3OTkxOTg0ODksbG5nJGVuLXVzLHIkMSxyZCQxNGJ0N29ncGIseW9vJDEsYWdwJDMzMzMzNTMwNTEsYXAkRkIyKSk/1/*https:/ad.wsod.com/click/8bec9b10877d5d7fd7c0fb6e6a631357/1542.0.img.120x60/?yud=&amp;encver=$%7bENC_VERSION%7d&amp;encalgo=$%7bENC_ALGO%7d&amp;app=apt&amp;intf=1" TargetMode="External"/><Relationship Id="rId16" Type="http://schemas.openxmlformats.org/officeDocument/2006/relationships/queryTable" Target="../queryTables/queryTable127.xml"/><Relationship Id="rId20" Type="http://schemas.openxmlformats.org/officeDocument/2006/relationships/queryTable" Target="../queryTables/queryTable131.xml"/><Relationship Id="rId29" Type="http://schemas.openxmlformats.org/officeDocument/2006/relationships/queryTable" Target="../queryTables/queryTable140.xml"/><Relationship Id="rId1" Type="http://schemas.openxmlformats.org/officeDocument/2006/relationships/hyperlink" Target="http://clicks.beap.bc.yahoo.com/yc/YnY9MS4wLjAmYnM9KDE3c2c5MWc1NyhnaWQkQnJjMmp6WTVMakdCZUJ2Y1ZFVW1SUUNGTVRJNUxsUjNJVWJfX3d4QSxzdCQxNDE3MDkzNDQ4MTI5MjYwLHNpJDQ0NTEwNTEsc3AkOTU5NDEzNTMsY3IkNDI3ODEyMDU1MSx2JDIuMCxhaWQkd0FLT2hHS0w0SlUtLGN0JDI1LHlieCRXYmxCQWpOQlBZU0FKTTg5aG1RTUhRLGJpJDIxNDk3MjIwNTEsbW1lJDkwNzQ1MTIzNDkxMzcwNDg3OTcsbG5nJGVuLXVzLHIkMSxyZCQxNHF0ODE2dXMseW9vJDEsYWdwJDMyODcyNzc1NTEsYXAkRkIyKSk/1/*https:/ad.wsod.com/click/577da7fee6e9ff57afc5f23882acdf54/60.0.img.120x60/1417093448.192151?yud=&amp;encver=$%7bENC_VERSION%7d&amp;encalgo=$%7bENC_ALGO%7d&amp;app=apt&amp;intf=1" TargetMode="External"/><Relationship Id="rId6" Type="http://schemas.openxmlformats.org/officeDocument/2006/relationships/queryTable" Target="../queryTables/queryTable117.xml"/><Relationship Id="rId11" Type="http://schemas.openxmlformats.org/officeDocument/2006/relationships/queryTable" Target="../queryTables/queryTable122.xml"/><Relationship Id="rId24" Type="http://schemas.openxmlformats.org/officeDocument/2006/relationships/queryTable" Target="../queryTables/queryTable135.xml"/><Relationship Id="rId32" Type="http://schemas.openxmlformats.org/officeDocument/2006/relationships/queryTable" Target="../queryTables/queryTable143.xml"/><Relationship Id="rId5" Type="http://schemas.openxmlformats.org/officeDocument/2006/relationships/hyperlink" Target="http://help.yahoo.com/l/us/yahoo/finance/quotes/fitadelay.html" TargetMode="External"/><Relationship Id="rId15" Type="http://schemas.openxmlformats.org/officeDocument/2006/relationships/queryTable" Target="../queryTables/queryTable126.xml"/><Relationship Id="rId23" Type="http://schemas.openxmlformats.org/officeDocument/2006/relationships/queryTable" Target="../queryTables/queryTable134.xml"/><Relationship Id="rId28" Type="http://schemas.openxmlformats.org/officeDocument/2006/relationships/queryTable" Target="../queryTables/queryTable139.xml"/><Relationship Id="rId10" Type="http://schemas.openxmlformats.org/officeDocument/2006/relationships/queryTable" Target="../queryTables/queryTable121.xml"/><Relationship Id="rId19" Type="http://schemas.openxmlformats.org/officeDocument/2006/relationships/queryTable" Target="../queryTables/queryTable130.xml"/><Relationship Id="rId31" Type="http://schemas.openxmlformats.org/officeDocument/2006/relationships/queryTable" Target="../queryTables/queryTable142.xml"/><Relationship Id="rId4" Type="http://schemas.openxmlformats.org/officeDocument/2006/relationships/hyperlink" Target="http://help.yahoo.com/l/us/yahoo/finance/tools/fitakeystats.html" TargetMode="External"/><Relationship Id="rId9" Type="http://schemas.openxmlformats.org/officeDocument/2006/relationships/queryTable" Target="../queryTables/queryTable120.xml"/><Relationship Id="rId14" Type="http://schemas.openxmlformats.org/officeDocument/2006/relationships/queryTable" Target="../queryTables/queryTable125.xml"/><Relationship Id="rId22" Type="http://schemas.openxmlformats.org/officeDocument/2006/relationships/queryTable" Target="../queryTables/queryTable133.xml"/><Relationship Id="rId27" Type="http://schemas.openxmlformats.org/officeDocument/2006/relationships/queryTable" Target="../queryTables/queryTable138.xml"/><Relationship Id="rId30" Type="http://schemas.openxmlformats.org/officeDocument/2006/relationships/queryTable" Target="../queryTables/queryTable141.xml"/><Relationship Id="rId8" Type="http://schemas.openxmlformats.org/officeDocument/2006/relationships/queryTable" Target="../queryTables/queryTable119.xml"/></Relationships>
</file>

<file path=xl/worksheets/_rels/sheet10.xml.rels><?xml version="1.0" encoding="UTF-8" standalone="yes"?>
<Relationships xmlns="http://schemas.openxmlformats.org/package/2006/relationships"><Relationship Id="rId13" Type="http://schemas.openxmlformats.org/officeDocument/2006/relationships/queryTable" Target="../queryTables/queryTable154.xml"/><Relationship Id="rId18" Type="http://schemas.openxmlformats.org/officeDocument/2006/relationships/queryTable" Target="../queryTables/queryTable159.xml"/><Relationship Id="rId26" Type="http://schemas.openxmlformats.org/officeDocument/2006/relationships/queryTable" Target="../queryTables/queryTable167.xml"/><Relationship Id="rId39" Type="http://schemas.openxmlformats.org/officeDocument/2006/relationships/queryTable" Target="../queryTables/queryTable180.xml"/><Relationship Id="rId21" Type="http://schemas.openxmlformats.org/officeDocument/2006/relationships/queryTable" Target="../queryTables/queryTable162.xml"/><Relationship Id="rId34" Type="http://schemas.openxmlformats.org/officeDocument/2006/relationships/queryTable" Target="../queryTables/queryTable175.xml"/><Relationship Id="rId42" Type="http://schemas.openxmlformats.org/officeDocument/2006/relationships/queryTable" Target="../queryTables/queryTable183.xml"/><Relationship Id="rId47" Type="http://schemas.openxmlformats.org/officeDocument/2006/relationships/queryTable" Target="../queryTables/queryTable188.xml"/><Relationship Id="rId7" Type="http://schemas.openxmlformats.org/officeDocument/2006/relationships/queryTable" Target="../queryTables/queryTable148.xml"/><Relationship Id="rId2" Type="http://schemas.openxmlformats.org/officeDocument/2006/relationships/hyperlink" Target="http://finance.yahoo.com/q?s=GOOG" TargetMode="External"/><Relationship Id="rId16" Type="http://schemas.openxmlformats.org/officeDocument/2006/relationships/queryTable" Target="../queryTables/queryTable157.xml"/><Relationship Id="rId29" Type="http://schemas.openxmlformats.org/officeDocument/2006/relationships/queryTable" Target="../queryTables/queryTable170.xml"/><Relationship Id="rId11" Type="http://schemas.openxmlformats.org/officeDocument/2006/relationships/queryTable" Target="../queryTables/queryTable152.xml"/><Relationship Id="rId24" Type="http://schemas.openxmlformats.org/officeDocument/2006/relationships/queryTable" Target="../queryTables/queryTable165.xml"/><Relationship Id="rId32" Type="http://schemas.openxmlformats.org/officeDocument/2006/relationships/queryTable" Target="../queryTables/queryTable173.xml"/><Relationship Id="rId37" Type="http://schemas.openxmlformats.org/officeDocument/2006/relationships/queryTable" Target="../queryTables/queryTable178.xml"/><Relationship Id="rId40" Type="http://schemas.openxmlformats.org/officeDocument/2006/relationships/queryTable" Target="../queryTables/queryTable181.xml"/><Relationship Id="rId45" Type="http://schemas.openxmlformats.org/officeDocument/2006/relationships/queryTable" Target="../queryTables/queryTable186.xml"/><Relationship Id="rId5" Type="http://schemas.openxmlformats.org/officeDocument/2006/relationships/queryTable" Target="../queryTables/queryTable146.xml"/><Relationship Id="rId15" Type="http://schemas.openxmlformats.org/officeDocument/2006/relationships/queryTable" Target="../queryTables/queryTable156.xml"/><Relationship Id="rId23" Type="http://schemas.openxmlformats.org/officeDocument/2006/relationships/queryTable" Target="../queryTables/queryTable164.xml"/><Relationship Id="rId28" Type="http://schemas.openxmlformats.org/officeDocument/2006/relationships/queryTable" Target="../queryTables/queryTable169.xml"/><Relationship Id="rId36" Type="http://schemas.openxmlformats.org/officeDocument/2006/relationships/queryTable" Target="../queryTables/queryTable177.xml"/><Relationship Id="rId49" Type="http://schemas.openxmlformats.org/officeDocument/2006/relationships/queryTable" Target="../queryTables/queryTable190.xml"/><Relationship Id="rId10" Type="http://schemas.openxmlformats.org/officeDocument/2006/relationships/queryTable" Target="../queryTables/queryTable151.xml"/><Relationship Id="rId19" Type="http://schemas.openxmlformats.org/officeDocument/2006/relationships/queryTable" Target="../queryTables/queryTable160.xml"/><Relationship Id="rId31" Type="http://schemas.openxmlformats.org/officeDocument/2006/relationships/queryTable" Target="../queryTables/queryTable172.xml"/><Relationship Id="rId44" Type="http://schemas.openxmlformats.org/officeDocument/2006/relationships/queryTable" Target="../queryTables/queryTable185.xml"/><Relationship Id="rId4" Type="http://schemas.openxmlformats.org/officeDocument/2006/relationships/queryTable" Target="../queryTables/queryTable145.xml"/><Relationship Id="rId9" Type="http://schemas.openxmlformats.org/officeDocument/2006/relationships/queryTable" Target="../queryTables/queryTable150.xml"/><Relationship Id="rId14" Type="http://schemas.openxmlformats.org/officeDocument/2006/relationships/queryTable" Target="../queryTables/queryTable155.xml"/><Relationship Id="rId22" Type="http://schemas.openxmlformats.org/officeDocument/2006/relationships/queryTable" Target="../queryTables/queryTable163.xml"/><Relationship Id="rId27" Type="http://schemas.openxmlformats.org/officeDocument/2006/relationships/queryTable" Target="../queryTables/queryTable168.xml"/><Relationship Id="rId30" Type="http://schemas.openxmlformats.org/officeDocument/2006/relationships/queryTable" Target="../queryTables/queryTable171.xml"/><Relationship Id="rId35" Type="http://schemas.openxmlformats.org/officeDocument/2006/relationships/queryTable" Target="../queryTables/queryTable176.xml"/><Relationship Id="rId43" Type="http://schemas.openxmlformats.org/officeDocument/2006/relationships/queryTable" Target="../queryTables/queryTable184.xml"/><Relationship Id="rId48" Type="http://schemas.openxmlformats.org/officeDocument/2006/relationships/queryTable" Target="../queryTables/queryTable189.xml"/><Relationship Id="rId8" Type="http://schemas.openxmlformats.org/officeDocument/2006/relationships/queryTable" Target="../queryTables/queryTable149.xml"/><Relationship Id="rId3" Type="http://schemas.openxmlformats.org/officeDocument/2006/relationships/hyperlink" Target="http://finance.yahoo.com/q?s=ORCL" TargetMode="External"/><Relationship Id="rId12" Type="http://schemas.openxmlformats.org/officeDocument/2006/relationships/queryTable" Target="../queryTables/queryTable153.xml"/><Relationship Id="rId17" Type="http://schemas.openxmlformats.org/officeDocument/2006/relationships/queryTable" Target="../queryTables/queryTable158.xml"/><Relationship Id="rId25" Type="http://schemas.openxmlformats.org/officeDocument/2006/relationships/queryTable" Target="../queryTables/queryTable166.xml"/><Relationship Id="rId33" Type="http://schemas.openxmlformats.org/officeDocument/2006/relationships/queryTable" Target="../queryTables/queryTable174.xml"/><Relationship Id="rId38" Type="http://schemas.openxmlformats.org/officeDocument/2006/relationships/queryTable" Target="../queryTables/queryTable179.xml"/><Relationship Id="rId46" Type="http://schemas.openxmlformats.org/officeDocument/2006/relationships/queryTable" Target="../queryTables/queryTable187.xml"/><Relationship Id="rId20" Type="http://schemas.openxmlformats.org/officeDocument/2006/relationships/queryTable" Target="../queryTables/queryTable161.xml"/><Relationship Id="rId41" Type="http://schemas.openxmlformats.org/officeDocument/2006/relationships/queryTable" Target="../queryTables/queryTable182.xml"/><Relationship Id="rId1" Type="http://schemas.openxmlformats.org/officeDocument/2006/relationships/hyperlink" Target="http://finance.yahoo.com/q?s=AAPL" TargetMode="External"/><Relationship Id="rId6" Type="http://schemas.openxmlformats.org/officeDocument/2006/relationships/queryTable" Target="../queryTables/queryTable14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tint="-0.249977111117893"/>
  </sheetPr>
  <dimension ref="A2:L59"/>
  <sheetViews>
    <sheetView showGridLines="0" tabSelected="1" zoomScale="80" zoomScaleNormal="80" workbookViewId="0">
      <selection activeCell="G5" sqref="G5"/>
    </sheetView>
  </sheetViews>
  <sheetFormatPr defaultColWidth="8.6640625" defaultRowHeight="14.4"/>
  <cols>
    <col min="1" max="1" width="3.5546875" style="4" customWidth="1"/>
    <col min="2" max="2" width="3.6640625" style="4" customWidth="1"/>
    <col min="3" max="4" width="8.6640625" style="4"/>
    <col min="5" max="5" width="17.6640625" style="4" customWidth="1"/>
    <col min="6" max="6" width="27.44140625" style="4" bestFit="1" customWidth="1"/>
    <col min="7" max="7" width="15.6640625" style="4" customWidth="1"/>
    <col min="8" max="8" width="14.44140625" style="4" customWidth="1"/>
    <col min="9" max="9" width="17" style="4" customWidth="1"/>
    <col min="10" max="10" width="16.33203125" style="4" customWidth="1"/>
    <col min="11" max="11" width="16.6640625" style="4" customWidth="1"/>
    <col min="12" max="12" width="17.5546875" style="4" customWidth="1"/>
    <col min="13" max="16384" width="8.6640625" style="4"/>
  </cols>
  <sheetData>
    <row r="2" spans="1:12">
      <c r="B2" s="19"/>
      <c r="D2" s="61" t="s">
        <v>71</v>
      </c>
      <c r="E2" s="62" t="s">
        <v>314</v>
      </c>
      <c r="G2" s="19"/>
      <c r="H2" s="19"/>
      <c r="I2" s="19"/>
      <c r="J2" s="19"/>
    </row>
    <row r="3" spans="1:12">
      <c r="C3" s="10"/>
      <c r="D3" s="10"/>
      <c r="E3" s="10"/>
      <c r="F3" s="11"/>
      <c r="G3" s="11"/>
      <c r="H3" s="11"/>
      <c r="I3" s="12"/>
      <c r="J3" s="12"/>
    </row>
    <row r="4" spans="1:12">
      <c r="C4" s="10"/>
      <c r="D4" s="10"/>
      <c r="E4" s="10"/>
    </row>
    <row r="5" spans="1:12">
      <c r="C5" s="10"/>
      <c r="D5" s="10"/>
      <c r="E5" s="10"/>
    </row>
    <row r="7" spans="1:12">
      <c r="B7" s="228" t="s">
        <v>76</v>
      </c>
      <c r="C7" s="229"/>
      <c r="D7" s="229"/>
      <c r="E7" s="229"/>
      <c r="F7" s="229"/>
      <c r="G7" s="229"/>
      <c r="H7" s="229"/>
      <c r="I7" s="229"/>
      <c r="J7" s="229"/>
      <c r="K7" s="229"/>
      <c r="L7" s="230"/>
    </row>
    <row r="8" spans="1:12">
      <c r="B8" s="3"/>
      <c r="E8" s="20"/>
      <c r="F8" s="56"/>
      <c r="G8" s="58" t="s">
        <v>9</v>
      </c>
      <c r="H8" s="59" t="s">
        <v>10</v>
      </c>
      <c r="I8" s="59" t="s">
        <v>11</v>
      </c>
      <c r="J8" s="59" t="s">
        <v>12</v>
      </c>
      <c r="K8" s="59" t="s">
        <v>13</v>
      </c>
      <c r="L8" s="60" t="s">
        <v>14</v>
      </c>
    </row>
    <row r="9" spans="1:12">
      <c r="B9" s="3" t="s">
        <v>66</v>
      </c>
      <c r="F9" s="13"/>
      <c r="G9" s="190">
        <f>Inputs!G6</f>
        <v>21763000</v>
      </c>
      <c r="H9" s="191">
        <f>Inputs!H6</f>
        <v>27955910.865952179</v>
      </c>
      <c r="I9" s="191">
        <f>Inputs!I6</f>
        <v>28515029.083271224</v>
      </c>
      <c r="J9" s="191">
        <f>Inputs!J6</f>
        <v>29370479.95576936</v>
      </c>
      <c r="K9" s="191">
        <f>Inputs!K6</f>
        <v>31887077.010148052</v>
      </c>
      <c r="L9" s="192">
        <f>Inputs!L6</f>
        <v>34619307.610306218</v>
      </c>
    </row>
    <row r="10" spans="1:12">
      <c r="A10" s="5"/>
      <c r="C10" s="18" t="s">
        <v>1</v>
      </c>
      <c r="F10" s="13"/>
      <c r="G10" s="193">
        <f>Inputs!G15</f>
        <v>0.26402609934292148</v>
      </c>
      <c r="H10" s="194">
        <f>Inputs!H15</f>
        <v>0.23364436470486091</v>
      </c>
      <c r="I10" s="194">
        <f>Inputs!I15</f>
        <v>0.23364436470486091</v>
      </c>
      <c r="J10" s="194">
        <f>Inputs!J15</f>
        <v>0.23364436470486091</v>
      </c>
      <c r="K10" s="194">
        <f>Inputs!K15</f>
        <v>0.23364436470486091</v>
      </c>
      <c r="L10" s="195">
        <f>Inputs!L15</f>
        <v>0.23364436470486091</v>
      </c>
    </row>
    <row r="11" spans="1:12">
      <c r="B11" s="3" t="s">
        <v>67</v>
      </c>
      <c r="F11" s="13"/>
      <c r="G11" s="190">
        <f t="shared" ref="G11:L11" si="0">G9*(1-G10)</f>
        <v>16016999.999999998</v>
      </c>
      <c r="H11" s="191">
        <f t="shared" si="0"/>
        <v>21424169.831931062</v>
      </c>
      <c r="I11" s="191">
        <f t="shared" si="0"/>
        <v>21852653.228569686</v>
      </c>
      <c r="J11" s="191">
        <f t="shared" si="0"/>
        <v>22508232.825426776</v>
      </c>
      <c r="K11" s="191">
        <f t="shared" si="0"/>
        <v>24436841.159817033</v>
      </c>
      <c r="L11" s="192">
        <f t="shared" si="0"/>
        <v>26530701.477174066</v>
      </c>
    </row>
    <row r="12" spans="1:12">
      <c r="B12" s="3"/>
      <c r="F12" s="13"/>
      <c r="G12" s="196"/>
      <c r="H12" s="197"/>
      <c r="I12" s="197"/>
      <c r="J12" s="197"/>
      <c r="K12" s="197"/>
      <c r="L12" s="198"/>
    </row>
    <row r="13" spans="1:12">
      <c r="B13" s="31" t="s">
        <v>68</v>
      </c>
      <c r="F13" s="13"/>
      <c r="G13" s="190">
        <f>Inputs!G46</f>
        <v>5212000</v>
      </c>
      <c r="H13" s="191">
        <f>Inputs!H46</f>
        <v>4872537.3630475774</v>
      </c>
      <c r="I13" s="191">
        <f>Inputs!I46</f>
        <v>4969988.1103085289</v>
      </c>
      <c r="J13" s="191">
        <f>Inputs!J46</f>
        <v>5119087.7536177849</v>
      </c>
      <c r="K13" s="191">
        <f>Inputs!K46</f>
        <v>5557714.6055201478</v>
      </c>
      <c r="L13" s="192">
        <f>Inputs!L46</f>
        <v>6033925.0122411996</v>
      </c>
    </row>
    <row r="14" spans="1:12">
      <c r="B14" s="32" t="s">
        <v>69</v>
      </c>
      <c r="F14" s="13"/>
      <c r="G14" s="190">
        <f>Inputs!G43</f>
        <v>-5485000</v>
      </c>
      <c r="H14" s="191">
        <f>Inputs!H43</f>
        <v>-4685873.695412091</v>
      </c>
      <c r="I14" s="191">
        <f>Inputs!I43</f>
        <v>-4779591.1693203328</v>
      </c>
      <c r="J14" s="191">
        <f>Inputs!J43</f>
        <v>-4922978.9043999426</v>
      </c>
      <c r="K14" s="191">
        <f>Inputs!K43</f>
        <v>-5344802.253158249</v>
      </c>
      <c r="L14" s="192">
        <f>Inputs!L43</f>
        <v>-5802769.3557316773</v>
      </c>
    </row>
    <row r="15" spans="1:12">
      <c r="B15" s="31" t="s">
        <v>70</v>
      </c>
      <c r="F15" s="13"/>
      <c r="G15" s="190">
        <f>Inputs!G37</f>
        <v>-298000</v>
      </c>
      <c r="H15" s="191">
        <f>Inputs!H37</f>
        <v>1558251.8732489944</v>
      </c>
      <c r="I15" s="191">
        <f>Inputs!I37</f>
        <v>242685.03746498004</v>
      </c>
      <c r="J15" s="191">
        <f>Inputs!J37</f>
        <v>371308.10732142255</v>
      </c>
      <c r="K15" s="191">
        <f>Inputs!K37</f>
        <v>1092327.939795332</v>
      </c>
      <c r="L15" s="192">
        <f>Inputs!L37</f>
        <v>1185923.5936574545</v>
      </c>
    </row>
    <row r="16" spans="1:12" ht="7.35" customHeight="1">
      <c r="B16" s="3"/>
      <c r="F16" s="13"/>
      <c r="G16" s="199"/>
      <c r="H16" s="200"/>
      <c r="I16" s="200"/>
      <c r="J16" s="200"/>
      <c r="K16" s="200"/>
      <c r="L16" s="201"/>
    </row>
    <row r="17" spans="2:12" ht="15" thickBot="1">
      <c r="B17" s="33" t="s">
        <v>31</v>
      </c>
      <c r="C17" s="7"/>
      <c r="D17" s="7"/>
      <c r="E17" s="7"/>
      <c r="F17" s="57"/>
      <c r="G17" s="202">
        <f t="shared" ref="G17:L17" si="1">G11+G13+G14+G15</f>
        <v>15446000</v>
      </c>
      <c r="H17" s="203">
        <f t="shared" si="1"/>
        <v>23169085.372815542</v>
      </c>
      <c r="I17" s="203">
        <f t="shared" si="1"/>
        <v>22285735.207022861</v>
      </c>
      <c r="J17" s="203">
        <f t="shared" si="1"/>
        <v>23075649.781966042</v>
      </c>
      <c r="K17" s="203">
        <f t="shared" si="1"/>
        <v>25742081.451974265</v>
      </c>
      <c r="L17" s="204">
        <f t="shared" si="1"/>
        <v>27947780.727341041</v>
      </c>
    </row>
    <row r="18" spans="2:12" ht="15" thickTop="1">
      <c r="H18" s="50">
        <v>1</v>
      </c>
      <c r="I18" s="50">
        <v>2</v>
      </c>
      <c r="J18" s="50">
        <v>3</v>
      </c>
      <c r="K18" s="51">
        <v>4</v>
      </c>
      <c r="L18" s="51">
        <v>5</v>
      </c>
    </row>
    <row r="20" spans="2:12">
      <c r="B20" s="228" t="s">
        <v>77</v>
      </c>
      <c r="C20" s="229"/>
      <c r="D20" s="229"/>
      <c r="E20" s="229"/>
      <c r="F20" s="229"/>
      <c r="G20" s="229"/>
      <c r="H20" s="229"/>
      <c r="I20" s="229"/>
      <c r="J20" s="229"/>
      <c r="K20" s="229"/>
      <c r="L20" s="230"/>
    </row>
    <row r="21" spans="2:12">
      <c r="B21" s="3"/>
      <c r="L21" s="5"/>
    </row>
    <row r="22" spans="2:12" ht="15" thickBot="1">
      <c r="B22" s="3"/>
      <c r="H22" s="4" t="s">
        <v>53</v>
      </c>
      <c r="K22" s="212">
        <f>Inputs!$F$56</f>
        <v>7.0000000000000007E-2</v>
      </c>
      <c r="L22" s="5"/>
    </row>
    <row r="23" spans="2:12" ht="15" thickBot="1">
      <c r="B23" s="3"/>
      <c r="H23" s="10" t="s">
        <v>32</v>
      </c>
      <c r="K23" s="213">
        <f>Inputs!$L$65</f>
        <v>6.0964552596282813E-2</v>
      </c>
      <c r="L23" s="5"/>
    </row>
    <row r="24" spans="2:12">
      <c r="B24" s="6"/>
      <c r="C24" s="7"/>
      <c r="D24" s="7"/>
      <c r="E24" s="7"/>
      <c r="F24" s="7"/>
      <c r="G24" s="7"/>
      <c r="H24" s="7"/>
      <c r="I24" s="7"/>
      <c r="J24" s="7"/>
      <c r="K24" s="7"/>
      <c r="L24" s="8"/>
    </row>
    <row r="26" spans="2:12">
      <c r="B26" s="228" t="s">
        <v>72</v>
      </c>
      <c r="C26" s="229"/>
      <c r="D26" s="229"/>
      <c r="E26" s="229"/>
      <c r="F26" s="229"/>
      <c r="G26" s="229"/>
      <c r="H26" s="229"/>
      <c r="I26" s="229"/>
      <c r="J26" s="229"/>
      <c r="K26" s="229"/>
      <c r="L26" s="230"/>
    </row>
    <row r="27" spans="2:12">
      <c r="B27" s="3"/>
      <c r="H27" s="64" t="str">
        <f>H8</f>
        <v>2014E</v>
      </c>
      <c r="I27" s="64" t="str">
        <f>I8</f>
        <v>2015E</v>
      </c>
      <c r="J27" s="64" t="str">
        <f>J8</f>
        <v>2016E</v>
      </c>
      <c r="K27" s="64" t="str">
        <f>K8</f>
        <v>2017E</v>
      </c>
      <c r="L27" s="66" t="str">
        <f>L8</f>
        <v>2018E</v>
      </c>
    </row>
    <row r="28" spans="2:12">
      <c r="B28" s="3"/>
      <c r="F28" s="65" t="s">
        <v>52</v>
      </c>
      <c r="H28" s="224">
        <f>H17/(1+K23)^H18</f>
        <v>21837756.328539491</v>
      </c>
      <c r="I28" s="224">
        <f>I17/(1+K23)^I18</f>
        <v>19798177.691460643</v>
      </c>
      <c r="J28" s="224">
        <f>J17/(1+K23)^J18</f>
        <v>19321966.138742313</v>
      </c>
      <c r="K28" s="224">
        <f>K17/(1+K23)^K18</f>
        <v>20316091.663338043</v>
      </c>
      <c r="L28" s="225">
        <f>L17/(1+K23)^L18</f>
        <v>20789447.925276022</v>
      </c>
    </row>
    <row r="29" spans="2:12" ht="15" thickBot="1">
      <c r="B29" s="3"/>
      <c r="F29" s="10" t="s">
        <v>54</v>
      </c>
      <c r="H29" s="203">
        <f>SUM(H28:L28)</f>
        <v>102063439.74735652</v>
      </c>
      <c r="I29" s="216"/>
      <c r="J29" s="216"/>
      <c r="K29" s="216"/>
      <c r="L29" s="226"/>
    </row>
    <row r="30" spans="2:12" ht="15" thickTop="1">
      <c r="B30" s="3"/>
      <c r="L30" s="5"/>
    </row>
    <row r="31" spans="2:12">
      <c r="B31" s="3"/>
      <c r="C31" s="4" t="s">
        <v>75</v>
      </c>
      <c r="F31" s="4">
        <f>Stock!B4</f>
        <v>47.47</v>
      </c>
      <c r="L31" s="5"/>
    </row>
    <row r="32" spans="2:12">
      <c r="B32" s="3"/>
      <c r="C32" s="234" t="s">
        <v>56</v>
      </c>
      <c r="D32" s="234"/>
      <c r="E32" s="234"/>
      <c r="F32" s="234"/>
      <c r="H32" s="234" t="s">
        <v>57</v>
      </c>
      <c r="I32" s="234"/>
      <c r="J32" s="234"/>
      <c r="L32" s="5"/>
    </row>
    <row r="33" spans="2:12">
      <c r="B33" s="3"/>
      <c r="C33" s="4" t="s">
        <v>59</v>
      </c>
      <c r="F33" s="191">
        <f>L28</f>
        <v>20789447.925276022</v>
      </c>
      <c r="H33" s="4" t="s">
        <v>60</v>
      </c>
      <c r="J33" s="191">
        <f>L9+L13</f>
        <v>40653232.622547418</v>
      </c>
      <c r="L33" s="5"/>
    </row>
    <row r="34" spans="2:12">
      <c r="B34" s="3"/>
      <c r="C34" s="4" t="s">
        <v>58</v>
      </c>
      <c r="F34" s="214">
        <v>0.03</v>
      </c>
      <c r="H34" s="4" t="s">
        <v>61</v>
      </c>
      <c r="J34" s="219">
        <v>12</v>
      </c>
      <c r="L34" s="5"/>
    </row>
    <row r="35" spans="2:12">
      <c r="B35" s="3"/>
      <c r="C35" s="10" t="s">
        <v>63</v>
      </c>
      <c r="F35" s="215">
        <f>K23</f>
        <v>6.0964552596282813E-2</v>
      </c>
      <c r="H35" s="4" t="s">
        <v>55</v>
      </c>
      <c r="J35" s="220">
        <f>J33*J34</f>
        <v>487838791.47056901</v>
      </c>
      <c r="L35" s="5"/>
    </row>
    <row r="36" spans="2:12" ht="7.35" customHeight="1">
      <c r="B36" s="3"/>
      <c r="F36" s="216"/>
      <c r="J36" s="216"/>
      <c r="L36" s="5"/>
    </row>
    <row r="37" spans="2:12">
      <c r="B37" s="3"/>
      <c r="C37" s="23" t="s">
        <v>62</v>
      </c>
      <c r="D37" s="2"/>
      <c r="E37" s="2"/>
      <c r="F37" s="217">
        <f>H29+(F33/(F35-F34))</f>
        <v>773458508.693766</v>
      </c>
      <c r="H37" s="23" t="s">
        <v>62</v>
      </c>
      <c r="I37" s="2"/>
      <c r="J37" s="221">
        <f>J35+H29</f>
        <v>589902231.21792555</v>
      </c>
      <c r="L37" s="5"/>
    </row>
    <row r="38" spans="2:12">
      <c r="B38" s="3"/>
      <c r="C38" s="10" t="s">
        <v>65</v>
      </c>
      <c r="F38" s="218">
        <v>8240000</v>
      </c>
      <c r="H38" s="10" t="s">
        <v>65</v>
      </c>
      <c r="J38" s="222">
        <f>F38</f>
        <v>8240000</v>
      </c>
      <c r="L38" s="5"/>
    </row>
    <row r="39" spans="2:12">
      <c r="B39" s="3"/>
      <c r="C39" s="10" t="s">
        <v>64</v>
      </c>
      <c r="F39" s="197">
        <f>F37/F38</f>
        <v>93.86632387060267</v>
      </c>
      <c r="H39" s="10" t="s">
        <v>64</v>
      </c>
      <c r="J39" s="223">
        <f>J37/J38</f>
        <v>71.590076604117172</v>
      </c>
      <c r="L39" s="5"/>
    </row>
    <row r="40" spans="2:12">
      <c r="B40" s="6"/>
      <c r="C40" s="7"/>
      <c r="D40" s="7"/>
      <c r="E40" s="7"/>
      <c r="F40" s="7"/>
      <c r="G40" s="7"/>
      <c r="H40" s="7"/>
      <c r="I40" s="7"/>
      <c r="J40" s="7"/>
      <c r="K40" s="7"/>
      <c r="L40" s="8"/>
    </row>
    <row r="41" spans="2:12" ht="10.8" customHeight="1"/>
    <row r="42" spans="2:12" ht="18" customHeight="1">
      <c r="B42" s="231" t="s">
        <v>107</v>
      </c>
      <c r="C42" s="232"/>
      <c r="D42" s="232"/>
      <c r="E42" s="232"/>
      <c r="F42" s="232"/>
      <c r="G42" s="232"/>
      <c r="H42" s="232"/>
      <c r="I42" s="232"/>
      <c r="J42" s="232"/>
      <c r="K42" s="232"/>
      <c r="L42" s="233"/>
    </row>
    <row r="43" spans="2:12" ht="31.2" customHeight="1">
      <c r="B43" s="3"/>
      <c r="L43" s="5"/>
    </row>
    <row r="44" spans="2:12">
      <c r="B44" s="3"/>
      <c r="C44" s="178" t="s">
        <v>108</v>
      </c>
      <c r="D44" s="179"/>
      <c r="E44" s="179"/>
      <c r="F44" s="180">
        <v>1</v>
      </c>
      <c r="L44" s="5"/>
    </row>
    <row r="45" spans="2:12">
      <c r="B45" s="3"/>
      <c r="L45" s="5"/>
    </row>
    <row r="46" spans="2:12">
      <c r="B46" s="3"/>
      <c r="L46" s="5"/>
    </row>
    <row r="47" spans="2:12">
      <c r="B47" s="3"/>
      <c r="C47" s="179" t="s">
        <v>105</v>
      </c>
      <c r="D47" s="177"/>
      <c r="E47" s="177"/>
      <c r="F47" s="179">
        <v>2</v>
      </c>
      <c r="L47" s="5"/>
    </row>
    <row r="48" spans="2:12">
      <c r="B48" s="3"/>
      <c r="L48" s="5"/>
    </row>
    <row r="49" spans="2:12">
      <c r="B49" s="3"/>
      <c r="C49" s="179" t="s">
        <v>109</v>
      </c>
      <c r="D49" s="177"/>
      <c r="E49" s="177"/>
      <c r="F49" s="177"/>
      <c r="L49" s="5"/>
    </row>
    <row r="50" spans="2:12">
      <c r="B50" s="3"/>
      <c r="C50" s="184" t="s">
        <v>295</v>
      </c>
      <c r="L50" s="5"/>
    </row>
    <row r="51" spans="2:12">
      <c r="B51" s="3"/>
      <c r="C51" s="184" t="s">
        <v>314</v>
      </c>
      <c r="L51" s="5"/>
    </row>
    <row r="52" spans="2:12">
      <c r="B52" s="3"/>
      <c r="C52" s="184"/>
      <c r="L52" s="5"/>
    </row>
    <row r="53" spans="2:12">
      <c r="B53" s="3"/>
      <c r="C53" s="184"/>
      <c r="L53" s="5"/>
    </row>
    <row r="54" spans="2:12">
      <c r="B54" s="3"/>
      <c r="C54" s="184"/>
      <c r="L54" s="5"/>
    </row>
    <row r="55" spans="2:12">
      <c r="B55" s="3"/>
      <c r="C55" s="184"/>
      <c r="L55" s="5"/>
    </row>
    <row r="56" spans="2:12">
      <c r="B56" s="3"/>
      <c r="L56" s="5"/>
    </row>
    <row r="57" spans="2:12">
      <c r="B57" s="3"/>
      <c r="L57" s="5"/>
    </row>
    <row r="58" spans="2:12">
      <c r="B58" s="3"/>
      <c r="L58" s="5"/>
    </row>
    <row r="59" spans="2:12">
      <c r="B59" s="6"/>
      <c r="C59" s="7"/>
      <c r="D59" s="7"/>
      <c r="E59" s="7"/>
      <c r="F59" s="7"/>
      <c r="G59" s="7"/>
      <c r="H59" s="7"/>
      <c r="I59" s="7"/>
      <c r="J59" s="7"/>
      <c r="K59" s="7"/>
      <c r="L59" s="8"/>
    </row>
  </sheetData>
  <mergeCells count="6">
    <mergeCell ref="B7:L7"/>
    <mergeCell ref="B20:L20"/>
    <mergeCell ref="B26:L26"/>
    <mergeCell ref="B42:L42"/>
    <mergeCell ref="H32:J32"/>
    <mergeCell ref="C32:F32"/>
  </mergeCells>
  <pageMargins left="0.7" right="0.7" top="0.75" bottom="0.75" header="0.3" footer="0.3"/>
  <pageSetup orientation="portrait" horizontalDpi="4294967292" verticalDpi="4294967292" r:id="rId1"/>
  <ignoredErrors>
    <ignoredError sqref="G10:G11 H9:L17 G17 I28:L28 G33:J33 G39:J39 G38 I38:J38 F35:J37 G34:I34 I29:L29"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trieveData">
                <anchor moveWithCells="1" sizeWithCells="1">
                  <from>
                    <xdr:col>3</xdr:col>
                    <xdr:colOff>22860</xdr:colOff>
                    <xdr:row>3</xdr:row>
                    <xdr:rowOff>22860</xdr:rowOff>
                  </from>
                  <to>
                    <xdr:col>5</xdr:col>
                    <xdr:colOff>251460</xdr:colOff>
                    <xdr:row>5</xdr:row>
                    <xdr:rowOff>30480</xdr:rowOff>
                  </to>
                </anchor>
              </controlPr>
            </control>
          </mc:Choice>
        </mc:AlternateContent>
        <mc:AlternateContent xmlns:mc="http://schemas.openxmlformats.org/markup-compatibility/2006">
          <mc:Choice Requires="x14">
            <control shapeId="1027" r:id="rId5" name="Button 3">
              <controlPr defaultSize="0" print="0" autoFill="0" autoPict="0" macro="[0]!_xludf.clear">
                <anchor moveWithCells="1" sizeWithCells="1">
                  <from>
                    <xdr:col>9</xdr:col>
                    <xdr:colOff>60960</xdr:colOff>
                    <xdr:row>3</xdr:row>
                    <xdr:rowOff>30480</xdr:rowOff>
                  </from>
                  <to>
                    <xdr:col>11</xdr:col>
                    <xdr:colOff>68580</xdr:colOff>
                    <xdr:row>5</xdr:row>
                    <xdr:rowOff>30480</xdr:rowOff>
                  </to>
                </anchor>
              </controlPr>
            </control>
          </mc:Choice>
        </mc:AlternateContent>
        <mc:AlternateContent xmlns:mc="http://schemas.openxmlformats.org/markup-compatibility/2006">
          <mc:Choice Requires="x14">
            <control shapeId="1029" r:id="rId6" name="Button 5">
              <controlPr defaultSize="0" print="0" autoFill="0" autoPict="0" macro="[0]!wacc">
                <anchor moveWithCells="1" sizeWithCells="1">
                  <from>
                    <xdr:col>2</xdr:col>
                    <xdr:colOff>22860</xdr:colOff>
                    <xdr:row>20</xdr:row>
                    <xdr:rowOff>60960</xdr:rowOff>
                  </from>
                  <to>
                    <xdr:col>4</xdr:col>
                    <xdr:colOff>944880</xdr:colOff>
                    <xdr:row>22</xdr:row>
                    <xdr:rowOff>144780</xdr:rowOff>
                  </to>
                </anchor>
              </controlPr>
            </control>
          </mc:Choice>
        </mc:AlternateContent>
        <mc:AlternateContent xmlns:mc="http://schemas.openxmlformats.org/markup-compatibility/2006">
          <mc:Choice Requires="x14">
            <control shapeId="1030" r:id="rId7" name="Button 6">
              <controlPr defaultSize="0" print="0" autoFill="0" autoPict="0" macro="[0]!CommandButton1_Click">
                <anchor moveWithCells="1" sizeWithCells="1">
                  <from>
                    <xdr:col>2</xdr:col>
                    <xdr:colOff>0</xdr:colOff>
                    <xdr:row>26</xdr:row>
                    <xdr:rowOff>114300</xdr:rowOff>
                  </from>
                  <to>
                    <xdr:col>4</xdr:col>
                    <xdr:colOff>937260</xdr:colOff>
                    <xdr:row>29</xdr:row>
                    <xdr:rowOff>22860</xdr:rowOff>
                  </to>
                </anchor>
              </controlPr>
            </control>
          </mc:Choice>
        </mc:AlternateContent>
        <mc:AlternateContent xmlns:mc="http://schemas.openxmlformats.org/markup-compatibility/2006">
          <mc:Choice Requires="x14">
            <control shapeId="1031" r:id="rId8" name="Button 7">
              <controlPr defaultSize="0" print="0" autoFill="0" autoPict="0" macro="[0]!CommantButton2_Click">
                <anchor moveWithCells="1" sizeWithCells="1">
                  <from>
                    <xdr:col>6</xdr:col>
                    <xdr:colOff>289560</xdr:colOff>
                    <xdr:row>3</xdr:row>
                    <xdr:rowOff>38100</xdr:rowOff>
                  </from>
                  <to>
                    <xdr:col>8</xdr:col>
                    <xdr:colOff>175260</xdr:colOff>
                    <xdr:row>5</xdr:row>
                    <xdr:rowOff>22860</xdr:rowOff>
                  </to>
                </anchor>
              </controlPr>
            </control>
          </mc:Choice>
        </mc:AlternateContent>
        <mc:AlternateContent xmlns:mc="http://schemas.openxmlformats.org/markup-compatibility/2006">
          <mc:Choice Requires="x14">
            <control shapeId="1032" r:id="rId9" name="Button 8">
              <controlPr defaultSize="0" print="0" autoFill="0" autoPict="0" macro="[0]!suggestionbox">
                <anchor moveWithCells="1" sizeWithCells="1">
                  <from>
                    <xdr:col>5</xdr:col>
                    <xdr:colOff>121920</xdr:colOff>
                    <xdr:row>1</xdr:row>
                    <xdr:rowOff>0</xdr:rowOff>
                  </from>
                  <to>
                    <xdr:col>6</xdr:col>
                    <xdr:colOff>1051560</xdr:colOff>
                    <xdr:row>1</xdr:row>
                    <xdr:rowOff>175260</xdr:rowOff>
                  </to>
                </anchor>
              </controlPr>
            </control>
          </mc:Choice>
        </mc:AlternateContent>
        <mc:AlternateContent xmlns:mc="http://schemas.openxmlformats.org/markup-compatibility/2006">
          <mc:Choice Requires="x14">
            <control shapeId="1033" r:id="rId10" name="Button 9">
              <controlPr defaultSize="0" print="0" autoFill="0" autoPict="0" macro="[0]!Module1.addStock">
                <anchor moveWithCells="1" sizeWithCells="1">
                  <from>
                    <xdr:col>2</xdr:col>
                    <xdr:colOff>45720</xdr:colOff>
                    <xdr:row>42</xdr:row>
                    <xdr:rowOff>45720</xdr:rowOff>
                  </from>
                  <to>
                    <xdr:col>5</xdr:col>
                    <xdr:colOff>190500</xdr:colOff>
                    <xdr:row>42</xdr:row>
                    <xdr:rowOff>350520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6" tint="-0.249977111117893"/>
  </sheetPr>
  <dimension ref="C2:W44"/>
  <sheetViews>
    <sheetView showGridLines="0" zoomScaleNormal="100" workbookViewId="0">
      <selection activeCell="E6" sqref="E6"/>
    </sheetView>
  </sheetViews>
  <sheetFormatPr defaultColWidth="12.33203125" defaultRowHeight="15"/>
  <cols>
    <col min="1" max="2" width="2.5546875" style="49" customWidth="1"/>
    <col min="3" max="3" width="5.33203125" style="49" customWidth="1"/>
    <col min="4" max="4" width="7.6640625" style="49" bestFit="1" customWidth="1"/>
    <col min="5" max="5" width="6.6640625" style="49" bestFit="1" customWidth="1"/>
    <col min="6" max="9" width="8.6640625" style="49" customWidth="1"/>
    <col min="10" max="10" width="9.88671875" style="49" customWidth="1"/>
    <col min="11" max="11" width="9.77734375" style="49" customWidth="1"/>
    <col min="12" max="16" width="8.6640625" style="49" customWidth="1"/>
    <col min="17" max="17" width="5.88671875" style="49" customWidth="1"/>
    <col min="18" max="18" width="2.5546875" style="49" customWidth="1"/>
    <col min="19" max="16384" width="12.33203125" style="49"/>
  </cols>
  <sheetData>
    <row r="2" spans="3:21" ht="15.6">
      <c r="C2" s="235" t="s">
        <v>74</v>
      </c>
      <c r="D2" s="236"/>
      <c r="E2" s="236"/>
      <c r="F2" s="236"/>
      <c r="G2" s="236"/>
      <c r="H2" s="236"/>
      <c r="I2" s="236"/>
      <c r="J2" s="236"/>
      <c r="K2" s="236"/>
      <c r="L2" s="236"/>
      <c r="M2" s="236"/>
      <c r="N2" s="236"/>
      <c r="O2" s="236"/>
      <c r="P2" s="236"/>
      <c r="Q2" s="237"/>
    </row>
    <row r="3" spans="3:21">
      <c r="C3" s="128"/>
      <c r="D3" s="129"/>
      <c r="E3" s="129"/>
      <c r="F3" s="129"/>
      <c r="G3" s="129"/>
      <c r="H3" s="129"/>
      <c r="I3" s="129"/>
      <c r="J3" s="129"/>
      <c r="K3" s="129"/>
      <c r="L3" s="129"/>
      <c r="M3" s="130"/>
      <c r="N3" s="131"/>
      <c r="O3" s="132"/>
      <c r="P3" s="133">
        <f>DCF!F35</f>
        <v>6.0964552596282813E-2</v>
      </c>
      <c r="Q3" s="134"/>
    </row>
    <row r="4" spans="3:21">
      <c r="C4" s="128"/>
      <c r="D4" s="129"/>
      <c r="E4" s="129"/>
      <c r="F4" s="129"/>
      <c r="G4" s="129"/>
      <c r="H4" s="129"/>
      <c r="I4" s="129"/>
      <c r="J4" s="129"/>
      <c r="K4" s="129"/>
      <c r="L4" s="129"/>
      <c r="M4" s="130"/>
      <c r="N4" s="131"/>
      <c r="O4" s="132"/>
      <c r="P4" s="133">
        <f>DCF!F34</f>
        <v>0.03</v>
      </c>
      <c r="Q4" s="135"/>
    </row>
    <row r="5" spans="3:21">
      <c r="C5" s="128"/>
      <c r="D5" s="136"/>
      <c r="E5" s="137"/>
      <c r="F5" s="129"/>
      <c r="G5" s="129"/>
      <c r="H5" s="129"/>
      <c r="I5" s="129"/>
      <c r="J5" s="129"/>
      <c r="K5" s="129"/>
      <c r="L5" s="129"/>
      <c r="M5" s="129"/>
      <c r="N5" s="129"/>
      <c r="O5" s="129"/>
      <c r="P5" s="129"/>
      <c r="Q5" s="134"/>
      <c r="T5" s="138"/>
      <c r="U5" s="139"/>
    </row>
    <row r="6" spans="3:21" ht="15.6">
      <c r="C6" s="128"/>
      <c r="D6" s="136"/>
      <c r="E6" s="137"/>
      <c r="F6" s="238" t="s">
        <v>32</v>
      </c>
      <c r="G6" s="239"/>
      <c r="H6" s="239"/>
      <c r="I6" s="239"/>
      <c r="J6" s="239"/>
      <c r="K6" s="239"/>
      <c r="L6" s="239"/>
      <c r="M6" s="239"/>
      <c r="N6" s="239"/>
      <c r="O6" s="239"/>
      <c r="P6" s="240"/>
      <c r="Q6" s="140"/>
    </row>
    <row r="7" spans="3:21" ht="15.6">
      <c r="C7" s="128"/>
      <c r="D7" s="156">
        <f>Stock!B4</f>
        <v>47.47</v>
      </c>
      <c r="E7" s="141">
        <f>((DCF!F33/(P3-P4))+DCF!H29)/DCF!F38</f>
        <v>93.86632387060267</v>
      </c>
      <c r="F7" s="142">
        <f t="shared" ref="F7:J7" si="0">G7-0.01</f>
        <v>1.0964552596282805E-2</v>
      </c>
      <c r="G7" s="142">
        <f t="shared" si="0"/>
        <v>2.0964552596282805E-2</v>
      </c>
      <c r="H7" s="142">
        <f t="shared" si="0"/>
        <v>3.0964552596282807E-2</v>
      </c>
      <c r="I7" s="142">
        <f t="shared" si="0"/>
        <v>4.0964552596282809E-2</v>
      </c>
      <c r="J7" s="142">
        <f t="shared" si="0"/>
        <v>5.0964552596282811E-2</v>
      </c>
      <c r="K7" s="142">
        <f>P3</f>
        <v>6.0964552596282813E-2</v>
      </c>
      <c r="L7" s="142">
        <f>K7+0.01</f>
        <v>7.0964552596282815E-2</v>
      </c>
      <c r="M7" s="142">
        <f>L7+0.01</f>
        <v>8.096455259628281E-2</v>
      </c>
      <c r="N7" s="142">
        <f>M7+0.01</f>
        <v>9.0964552596282805E-2</v>
      </c>
      <c r="O7" s="142">
        <f>N7+0.01</f>
        <v>0.1009645525962828</v>
      </c>
      <c r="P7" s="142">
        <f>O7+0.01</f>
        <v>0.11096455259628279</v>
      </c>
      <c r="Q7" s="143"/>
    </row>
    <row r="8" spans="3:21">
      <c r="C8" s="128"/>
      <c r="D8" s="241" t="s">
        <v>58</v>
      </c>
      <c r="E8" s="142">
        <f t="shared" ref="E8:E11" si="1">E9-0.01</f>
        <v>-0.02</v>
      </c>
      <c r="F8" s="181">
        <f t="dataTable" ref="F8:P18" dt2D="1" dtr="1" r1="P3" r2="P4" ca="1"/>
        <v>93.866323870602685</v>
      </c>
      <c r="G8" s="181">
        <v>-266.84623613795685</v>
      </c>
      <c r="H8" s="181">
        <v>-52.246997892875612</v>
      </c>
      <c r="I8" s="181">
        <v>-30.350547366790316</v>
      </c>
      <c r="J8" s="181">
        <v>-24.159975892395295</v>
      </c>
      <c r="K8" s="182">
        <v>-24.159975892395295</v>
      </c>
      <c r="L8" s="183">
        <v>-30.350547366790316</v>
      </c>
      <c r="M8" s="181">
        <v>-52.246997892875612</v>
      </c>
      <c r="N8" s="181">
        <v>-266.84623613795708</v>
      </c>
      <c r="O8" s="181">
        <v>93.86632387060267</v>
      </c>
      <c r="P8" s="181">
        <v>43.548016980348265</v>
      </c>
      <c r="Q8" s="144"/>
    </row>
    <row r="9" spans="3:21">
      <c r="C9" s="128"/>
      <c r="D9" s="242"/>
      <c r="E9" s="142">
        <f t="shared" si="1"/>
        <v>-0.01</v>
      </c>
      <c r="F9" s="181">
        <v>47.939177928330622</v>
      </c>
      <c r="G9" s="181">
        <v>93.86632387060267</v>
      </c>
      <c r="H9" s="181">
        <v>2628.0977719879638</v>
      </c>
      <c r="I9" s="181">
        <v>-120.15539667883624</v>
      </c>
      <c r="J9" s="181">
        <v>-74.507146589522122</v>
      </c>
      <c r="K9" s="182">
        <v>-74.507146589522122</v>
      </c>
      <c r="L9" s="183">
        <v>-120.15539667883624</v>
      </c>
      <c r="M9" s="181">
        <v>2628.0977719879638</v>
      </c>
      <c r="N9" s="181">
        <v>93.86632387060267</v>
      </c>
      <c r="O9" s="181">
        <v>47.939177928330622</v>
      </c>
      <c r="P9" s="181">
        <v>33.243617373569172</v>
      </c>
      <c r="Q9" s="144"/>
    </row>
    <row r="10" spans="3:21">
      <c r="C10" s="128"/>
      <c r="D10" s="242"/>
      <c r="E10" s="142">
        <f t="shared" si="1"/>
        <v>0</v>
      </c>
      <c r="F10" s="181">
        <v>37.375221399351283</v>
      </c>
      <c r="G10" s="181">
        <v>53.770900895052399</v>
      </c>
      <c r="H10" s="181">
        <v>93.866323870602713</v>
      </c>
      <c r="I10" s="181">
        <v>242.49069021832102</v>
      </c>
      <c r="J10" s="181">
        <v>2628.0977719879638</v>
      </c>
      <c r="K10" s="182">
        <v>2628.0977719879638</v>
      </c>
      <c r="L10" s="183">
        <v>242.49069021832102</v>
      </c>
      <c r="M10" s="181">
        <v>93.866323870602713</v>
      </c>
      <c r="N10" s="181">
        <v>53.770900895052399</v>
      </c>
      <c r="O10" s="181">
        <v>37.375221399351283</v>
      </c>
      <c r="P10" s="181">
        <v>29.098814390411501</v>
      </c>
      <c r="Q10" s="144"/>
    </row>
    <row r="11" spans="3:21">
      <c r="C11" s="128"/>
      <c r="D11" s="242"/>
      <c r="E11" s="142">
        <f t="shared" si="1"/>
        <v>9.9999999999999967E-3</v>
      </c>
      <c r="F11" s="181">
        <v>33.24361737356918</v>
      </c>
      <c r="G11" s="181">
        <v>43.548016980348272</v>
      </c>
      <c r="H11" s="181">
        <v>61.891164688539781</v>
      </c>
      <c r="I11" s="181">
        <v>93.866323870602727</v>
      </c>
      <c r="J11" s="181">
        <v>132.73192032024275</v>
      </c>
      <c r="K11" s="182">
        <v>132.73192032024275</v>
      </c>
      <c r="L11" s="183">
        <v>93.866323870602727</v>
      </c>
      <c r="M11" s="181">
        <v>61.891164688539781</v>
      </c>
      <c r="N11" s="181">
        <v>43.548016980348272</v>
      </c>
      <c r="O11" s="181">
        <v>33.24361737356918</v>
      </c>
      <c r="P11" s="181">
        <v>27.143733718839563</v>
      </c>
      <c r="Q11" s="144"/>
    </row>
    <row r="12" spans="3:21">
      <c r="C12" s="128"/>
      <c r="D12" s="242"/>
      <c r="E12" s="142">
        <f>E13-0.01</f>
        <v>1.9999999999999997E-2</v>
      </c>
      <c r="F12" s="181">
        <v>31.651027838086236</v>
      </c>
      <c r="G12" s="181">
        <v>40.122322430572957</v>
      </c>
      <c r="H12" s="181">
        <v>53.770900895052414</v>
      </c>
      <c r="I12" s="181">
        <v>73.975960390145289</v>
      </c>
      <c r="J12" s="181">
        <v>93.866323870602727</v>
      </c>
      <c r="K12" s="182">
        <v>93.866323870602727</v>
      </c>
      <c r="L12" s="183">
        <v>73.975960390145289</v>
      </c>
      <c r="M12" s="181">
        <v>53.770900895052414</v>
      </c>
      <c r="N12" s="181">
        <v>40.122322430572957</v>
      </c>
      <c r="O12" s="181">
        <v>31.651027838086236</v>
      </c>
      <c r="P12" s="181">
        <v>26.32824838030492</v>
      </c>
      <c r="Q12" s="144"/>
    </row>
    <row r="13" spans="3:21">
      <c r="C13" s="128"/>
      <c r="D13" s="242"/>
      <c r="E13" s="142">
        <f>P4</f>
        <v>0.03</v>
      </c>
      <c r="F13" s="182">
        <v>31.651027838086236</v>
      </c>
      <c r="G13" s="182">
        <v>40.122322430572957</v>
      </c>
      <c r="H13" s="182">
        <v>53.770900895052414</v>
      </c>
      <c r="I13" s="182">
        <v>73.975960390145289</v>
      </c>
      <c r="J13" s="182">
        <v>93.866323870602727</v>
      </c>
      <c r="K13" s="182">
        <v>93.866323870602727</v>
      </c>
      <c r="L13" s="182">
        <v>73.975960390145289</v>
      </c>
      <c r="M13" s="182">
        <v>53.770900895052414</v>
      </c>
      <c r="N13" s="182">
        <v>40.122322430572957</v>
      </c>
      <c r="O13" s="182">
        <v>31.651027838086236</v>
      </c>
      <c r="P13" s="182">
        <v>26.32824838030492</v>
      </c>
      <c r="Q13" s="145"/>
    </row>
    <row r="14" spans="3:21">
      <c r="C14" s="128"/>
      <c r="D14" s="242"/>
      <c r="E14" s="142">
        <f>E13+0.01</f>
        <v>0.04</v>
      </c>
      <c r="F14" s="181">
        <v>33.24361737356918</v>
      </c>
      <c r="G14" s="181">
        <v>43.548016980348272</v>
      </c>
      <c r="H14" s="181">
        <v>61.891164688539781</v>
      </c>
      <c r="I14" s="181">
        <v>93.866323870602727</v>
      </c>
      <c r="J14" s="181">
        <v>132.73192032024275</v>
      </c>
      <c r="K14" s="182">
        <v>132.73192032024275</v>
      </c>
      <c r="L14" s="183">
        <v>93.866323870602727</v>
      </c>
      <c r="M14" s="181">
        <v>61.891164688539781</v>
      </c>
      <c r="N14" s="181">
        <v>43.548016980348272</v>
      </c>
      <c r="O14" s="181">
        <v>33.24361737356918</v>
      </c>
      <c r="P14" s="181">
        <v>27.143733718839563</v>
      </c>
      <c r="Q14" s="144"/>
    </row>
    <row r="15" spans="3:21">
      <c r="C15" s="128"/>
      <c r="D15" s="242"/>
      <c r="E15" s="142">
        <f t="shared" ref="E15:E18" si="2">E14+0.01</f>
        <v>0.05</v>
      </c>
      <c r="F15" s="181">
        <v>37.375221399351283</v>
      </c>
      <c r="G15" s="181">
        <v>53.770900895052399</v>
      </c>
      <c r="H15" s="181">
        <v>93.866323870602713</v>
      </c>
      <c r="I15" s="181">
        <v>242.49069021832102</v>
      </c>
      <c r="J15" s="181">
        <v>2628.0977719879638</v>
      </c>
      <c r="K15" s="182">
        <v>2628.0977719879638</v>
      </c>
      <c r="L15" s="183">
        <v>242.49069021832102</v>
      </c>
      <c r="M15" s="181">
        <v>93.866323870602713</v>
      </c>
      <c r="N15" s="181">
        <v>53.770900895052399</v>
      </c>
      <c r="O15" s="181">
        <v>37.375221399351283</v>
      </c>
      <c r="P15" s="181">
        <v>29.098814390411501</v>
      </c>
      <c r="Q15" s="144"/>
    </row>
    <row r="16" spans="3:21">
      <c r="C16" s="128"/>
      <c r="D16" s="242"/>
      <c r="E16" s="142">
        <f t="shared" si="2"/>
        <v>6.0000000000000005E-2</v>
      </c>
      <c r="F16" s="181">
        <v>47.939177928330622</v>
      </c>
      <c r="G16" s="181">
        <v>93.86632387060267</v>
      </c>
      <c r="H16" s="181">
        <v>2628.0977719879638</v>
      </c>
      <c r="I16" s="181">
        <v>-120.15539667883624</v>
      </c>
      <c r="J16" s="181">
        <v>-74.507146589522122</v>
      </c>
      <c r="K16" s="182">
        <v>-74.507146589522122</v>
      </c>
      <c r="L16" s="183">
        <v>-120.15539667883624</v>
      </c>
      <c r="M16" s="181">
        <v>2628.0977719879638</v>
      </c>
      <c r="N16" s="181">
        <v>93.86632387060267</v>
      </c>
      <c r="O16" s="181">
        <v>47.939177928330622</v>
      </c>
      <c r="P16" s="181">
        <v>33.243617373569172</v>
      </c>
      <c r="Q16" s="144"/>
    </row>
    <row r="17" spans="3:23">
      <c r="C17" s="128"/>
      <c r="D17" s="242"/>
      <c r="E17" s="142">
        <f t="shared" si="2"/>
        <v>7.0000000000000007E-2</v>
      </c>
      <c r="F17" s="181">
        <v>93.866323870602685</v>
      </c>
      <c r="G17" s="181">
        <v>-266.84623613795696</v>
      </c>
      <c r="H17" s="181">
        <v>-52.246997892875612</v>
      </c>
      <c r="I17" s="181">
        <v>-30.350547366790305</v>
      </c>
      <c r="J17" s="181">
        <v>-24.159975892395288</v>
      </c>
      <c r="K17" s="182">
        <v>-24.159975892395288</v>
      </c>
      <c r="L17" s="183">
        <v>-30.350547366790305</v>
      </c>
      <c r="M17" s="181">
        <v>-52.246997892875612</v>
      </c>
      <c r="N17" s="181">
        <v>-266.84623613795696</v>
      </c>
      <c r="O17" s="181">
        <v>93.866323870602685</v>
      </c>
      <c r="P17" s="181">
        <v>43.548016980348265</v>
      </c>
      <c r="Q17" s="144"/>
    </row>
    <row r="18" spans="3:23">
      <c r="C18" s="128"/>
      <c r="D18" s="243"/>
      <c r="E18" s="142">
        <f t="shared" si="2"/>
        <v>0.08</v>
      </c>
      <c r="F18" s="181">
        <v>-120.15539667883624</v>
      </c>
      <c r="G18" s="181">
        <v>-30.350547366790316</v>
      </c>
      <c r="H18" s="181">
        <v>-15.950590364888164</v>
      </c>
      <c r="I18" s="181">
        <v>-10.752843977856465</v>
      </c>
      <c r="J18" s="181">
        <v>-8.8089537957544159</v>
      </c>
      <c r="K18" s="182">
        <v>-8.8089537957544159</v>
      </c>
      <c r="L18" s="183">
        <v>-10.752843977856465</v>
      </c>
      <c r="M18" s="181">
        <v>-15.950590364888164</v>
      </c>
      <c r="N18" s="181">
        <v>-30.350547366790316</v>
      </c>
      <c r="O18" s="181">
        <v>-120.15539667883624</v>
      </c>
      <c r="P18" s="181">
        <v>93.866323870602656</v>
      </c>
      <c r="Q18" s="144"/>
    </row>
    <row r="19" spans="3:23">
      <c r="C19" s="146"/>
      <c r="D19" s="147"/>
      <c r="E19" s="147"/>
      <c r="F19" s="147"/>
      <c r="G19" s="147"/>
      <c r="H19" s="147"/>
      <c r="I19" s="147"/>
      <c r="J19" s="147"/>
      <c r="K19" s="147"/>
      <c r="L19" s="147"/>
      <c r="M19" s="147"/>
      <c r="N19" s="147"/>
      <c r="O19" s="147"/>
      <c r="P19" s="147"/>
      <c r="Q19" s="148"/>
    </row>
    <row r="21" spans="3:23" ht="15.6">
      <c r="C21"/>
      <c r="D21"/>
      <c r="E21"/>
      <c r="F21"/>
      <c r="G21"/>
      <c r="H21"/>
      <c r="I21"/>
      <c r="J21"/>
      <c r="K21"/>
      <c r="L21"/>
      <c r="M21"/>
      <c r="N21"/>
      <c r="O21"/>
      <c r="P21"/>
      <c r="Q21"/>
      <c r="R21"/>
      <c r="S21"/>
      <c r="T21"/>
      <c r="U21"/>
      <c r="V21"/>
      <c r="W21"/>
    </row>
    <row r="22" spans="3:23" s="171" customFormat="1" ht="15.6">
      <c r="C22"/>
      <c r="D22"/>
      <c r="E22"/>
      <c r="F22"/>
      <c r="G22"/>
      <c r="H22"/>
      <c r="I22"/>
      <c r="J22"/>
      <c r="K22"/>
      <c r="L22"/>
      <c r="M22"/>
      <c r="N22"/>
      <c r="O22"/>
      <c r="P22"/>
      <c r="Q22"/>
      <c r="R22"/>
      <c r="S22"/>
      <c r="T22"/>
      <c r="U22"/>
      <c r="V22"/>
      <c r="W22"/>
    </row>
    <row r="23" spans="3:23" s="171" customFormat="1" ht="15.6">
      <c r="C23"/>
      <c r="D23"/>
      <c r="E23"/>
      <c r="F23"/>
      <c r="G23"/>
      <c r="H23"/>
      <c r="I23"/>
      <c r="J23"/>
      <c r="K23"/>
      <c r="L23"/>
      <c r="M23"/>
      <c r="N23"/>
      <c r="O23"/>
      <c r="P23"/>
      <c r="Q23"/>
      <c r="R23"/>
      <c r="S23"/>
      <c r="T23"/>
      <c r="U23"/>
      <c r="V23"/>
      <c r="W23"/>
    </row>
    <row r="24" spans="3:23" s="171" customFormat="1" ht="15.6">
      <c r="C24"/>
      <c r="D24"/>
      <c r="E24"/>
      <c r="F24"/>
      <c r="G24"/>
      <c r="H24"/>
      <c r="I24"/>
      <c r="J24"/>
      <c r="K24"/>
      <c r="L24"/>
      <c r="M24"/>
      <c r="N24"/>
      <c r="O24"/>
      <c r="P24"/>
      <c r="Q24"/>
      <c r="R24"/>
      <c r="S24"/>
      <c r="T24"/>
      <c r="U24"/>
      <c r="V24"/>
      <c r="W24"/>
    </row>
    <row r="25" spans="3:23" s="171" customFormat="1" ht="15.6">
      <c r="C25"/>
      <c r="D25"/>
      <c r="E25"/>
      <c r="F25"/>
      <c r="G25"/>
      <c r="H25"/>
      <c r="I25"/>
      <c r="J25"/>
      <c r="K25"/>
      <c r="L25"/>
      <c r="M25"/>
      <c r="N25"/>
      <c r="O25"/>
      <c r="P25"/>
      <c r="Q25"/>
      <c r="R25"/>
      <c r="S25"/>
      <c r="T25"/>
      <c r="U25"/>
      <c r="V25"/>
      <c r="W25"/>
    </row>
    <row r="26" spans="3:23" s="171" customFormat="1" ht="15.6">
      <c r="C26"/>
      <c r="D26"/>
      <c r="E26"/>
      <c r="F26"/>
      <c r="G26"/>
      <c r="H26"/>
      <c r="I26"/>
      <c r="J26"/>
      <c r="K26"/>
      <c r="L26"/>
      <c r="M26"/>
      <c r="N26"/>
      <c r="O26"/>
      <c r="P26"/>
      <c r="Q26"/>
      <c r="R26"/>
      <c r="S26"/>
      <c r="T26"/>
      <c r="U26"/>
      <c r="V26"/>
      <c r="W26"/>
    </row>
    <row r="27" spans="3:23" s="171" customFormat="1" ht="15.6">
      <c r="C27"/>
      <c r="D27"/>
      <c r="E27"/>
      <c r="F27"/>
      <c r="G27"/>
      <c r="H27"/>
      <c r="I27"/>
      <c r="J27"/>
      <c r="K27"/>
      <c r="L27"/>
      <c r="M27"/>
      <c r="N27"/>
      <c r="O27"/>
      <c r="P27"/>
      <c r="Q27"/>
      <c r="R27"/>
      <c r="S27"/>
      <c r="T27"/>
      <c r="U27"/>
      <c r="V27"/>
      <c r="W27"/>
    </row>
    <row r="28" spans="3:23" s="171" customFormat="1" ht="15.6">
      <c r="C28"/>
      <c r="D28"/>
      <c r="E28"/>
      <c r="F28"/>
      <c r="G28"/>
      <c r="H28"/>
      <c r="I28"/>
      <c r="J28"/>
      <c r="K28"/>
      <c r="L28"/>
      <c r="M28"/>
      <c r="N28"/>
      <c r="O28"/>
      <c r="P28"/>
      <c r="Q28"/>
      <c r="R28"/>
      <c r="S28"/>
      <c r="T28"/>
      <c r="U28"/>
      <c r="V28"/>
      <c r="W28"/>
    </row>
    <row r="29" spans="3:23" s="171" customFormat="1" ht="15.6">
      <c r="C29"/>
      <c r="D29"/>
      <c r="E29"/>
      <c r="F29"/>
      <c r="G29"/>
      <c r="H29"/>
      <c r="I29"/>
      <c r="J29"/>
      <c r="K29"/>
      <c r="L29"/>
      <c r="M29"/>
      <c r="N29"/>
      <c r="O29"/>
      <c r="P29"/>
      <c r="Q29"/>
      <c r="R29"/>
      <c r="S29"/>
      <c r="T29"/>
      <c r="U29"/>
      <c r="V29"/>
      <c r="W29"/>
    </row>
    <row r="30" spans="3:23" ht="15.6">
      <c r="C30"/>
      <c r="D30"/>
      <c r="E30"/>
      <c r="F30"/>
      <c r="G30"/>
      <c r="H30"/>
      <c r="I30"/>
      <c r="J30"/>
      <c r="K30"/>
      <c r="L30"/>
      <c r="M30"/>
      <c r="N30"/>
      <c r="O30"/>
      <c r="P30"/>
      <c r="Q30"/>
      <c r="R30"/>
      <c r="S30"/>
      <c r="T30"/>
      <c r="U30"/>
      <c r="V30"/>
      <c r="W30"/>
    </row>
    <row r="31" spans="3:23" ht="15.6">
      <c r="C31"/>
      <c r="D31"/>
      <c r="E31"/>
      <c r="F31"/>
      <c r="G31"/>
      <c r="H31"/>
      <c r="I31"/>
      <c r="J31"/>
      <c r="K31"/>
      <c r="L31"/>
      <c r="M31"/>
      <c r="N31"/>
      <c r="O31"/>
      <c r="P31"/>
      <c r="Q31"/>
      <c r="R31"/>
      <c r="S31"/>
      <c r="T31"/>
      <c r="U31"/>
      <c r="V31"/>
      <c r="W31"/>
    </row>
    <row r="32" spans="3:23" ht="15.6">
      <c r="C32"/>
      <c r="D32"/>
      <c r="E32"/>
      <c r="F32"/>
      <c r="G32"/>
      <c r="H32"/>
      <c r="I32"/>
      <c r="J32"/>
      <c r="K32"/>
      <c r="L32"/>
      <c r="M32"/>
      <c r="N32"/>
      <c r="O32"/>
      <c r="P32"/>
      <c r="Q32"/>
      <c r="R32"/>
      <c r="S32"/>
      <c r="T32"/>
      <c r="U32"/>
      <c r="V32"/>
      <c r="W32"/>
    </row>
    <row r="33" spans="3:23" ht="15.6">
      <c r="C33"/>
      <c r="D33"/>
      <c r="E33"/>
      <c r="F33"/>
      <c r="G33"/>
      <c r="H33"/>
      <c r="I33"/>
      <c r="J33"/>
      <c r="K33"/>
      <c r="L33"/>
      <c r="M33"/>
      <c r="N33"/>
      <c r="O33"/>
      <c r="P33"/>
      <c r="Q33"/>
      <c r="R33"/>
      <c r="S33"/>
      <c r="T33"/>
      <c r="U33"/>
      <c r="V33"/>
      <c r="W33"/>
    </row>
    <row r="34" spans="3:23" ht="15.6">
      <c r="C34"/>
      <c r="D34"/>
      <c r="E34"/>
      <c r="F34"/>
      <c r="G34"/>
      <c r="H34"/>
      <c r="I34"/>
      <c r="J34"/>
      <c r="K34"/>
      <c r="L34"/>
      <c r="M34"/>
      <c r="N34"/>
      <c r="O34"/>
      <c r="P34"/>
      <c r="Q34"/>
      <c r="R34"/>
      <c r="S34"/>
      <c r="T34"/>
      <c r="U34"/>
      <c r="V34"/>
      <c r="W34"/>
    </row>
    <row r="35" spans="3:23" ht="15.6">
      <c r="C35"/>
      <c r="D35"/>
      <c r="E35"/>
      <c r="F35"/>
      <c r="G35"/>
      <c r="H35"/>
      <c r="I35"/>
      <c r="J35"/>
      <c r="K35"/>
      <c r="L35"/>
      <c r="M35"/>
      <c r="N35"/>
      <c r="O35"/>
      <c r="P35"/>
      <c r="Q35"/>
      <c r="R35"/>
      <c r="S35"/>
      <c r="T35"/>
      <c r="U35"/>
      <c r="V35"/>
      <c r="W35"/>
    </row>
    <row r="36" spans="3:23" ht="15.6">
      <c r="C36"/>
      <c r="D36"/>
      <c r="E36"/>
      <c r="F36"/>
      <c r="G36"/>
      <c r="H36"/>
      <c r="I36"/>
      <c r="J36"/>
      <c r="K36"/>
      <c r="L36"/>
      <c r="M36"/>
      <c r="N36"/>
      <c r="O36"/>
      <c r="P36"/>
      <c r="Q36"/>
      <c r="R36"/>
      <c r="S36"/>
      <c r="T36"/>
      <c r="U36"/>
      <c r="V36"/>
      <c r="W36"/>
    </row>
    <row r="37" spans="3:23" ht="15.6">
      <c r="C37"/>
      <c r="D37"/>
      <c r="E37"/>
      <c r="F37"/>
      <c r="G37"/>
      <c r="H37"/>
      <c r="I37"/>
      <c r="J37"/>
      <c r="K37"/>
      <c r="L37"/>
      <c r="M37"/>
      <c r="N37"/>
      <c r="O37"/>
      <c r="P37"/>
      <c r="Q37"/>
      <c r="R37"/>
      <c r="S37"/>
      <c r="T37"/>
      <c r="U37"/>
      <c r="V37"/>
      <c r="W37"/>
    </row>
    <row r="38" spans="3:23" ht="15.6">
      <c r="C38"/>
      <c r="D38"/>
      <c r="E38"/>
      <c r="F38"/>
      <c r="G38"/>
      <c r="H38"/>
      <c r="I38"/>
      <c r="J38"/>
      <c r="K38"/>
      <c r="L38"/>
      <c r="M38"/>
      <c r="N38"/>
      <c r="O38"/>
      <c r="P38"/>
      <c r="Q38"/>
      <c r="R38"/>
      <c r="S38"/>
      <c r="T38"/>
      <c r="U38"/>
      <c r="V38"/>
      <c r="W38"/>
    </row>
    <row r="39" spans="3:23" ht="15.6">
      <c r="C39"/>
      <c r="D39"/>
      <c r="E39"/>
      <c r="F39"/>
      <c r="G39"/>
      <c r="H39"/>
      <c r="I39"/>
      <c r="J39"/>
      <c r="K39"/>
      <c r="L39"/>
      <c r="M39"/>
      <c r="N39"/>
      <c r="O39"/>
      <c r="P39"/>
      <c r="Q39"/>
      <c r="R39"/>
      <c r="S39"/>
      <c r="T39"/>
      <c r="U39"/>
      <c r="V39"/>
      <c r="W39"/>
    </row>
    <row r="40" spans="3:23" ht="15.6">
      <c r="C40"/>
      <c r="D40"/>
      <c r="E40"/>
      <c r="F40"/>
      <c r="G40"/>
      <c r="H40"/>
      <c r="I40"/>
      <c r="J40"/>
      <c r="K40"/>
      <c r="L40"/>
      <c r="M40"/>
      <c r="N40"/>
      <c r="O40"/>
      <c r="P40"/>
      <c r="Q40"/>
      <c r="R40"/>
      <c r="S40"/>
      <c r="T40"/>
      <c r="U40"/>
      <c r="V40"/>
      <c r="W40"/>
    </row>
    <row r="41" spans="3:23" ht="15.6">
      <c r="C41"/>
      <c r="D41"/>
      <c r="E41"/>
      <c r="F41"/>
      <c r="G41"/>
      <c r="H41"/>
      <c r="I41"/>
      <c r="J41"/>
      <c r="K41"/>
      <c r="L41"/>
      <c r="M41"/>
      <c r="N41"/>
      <c r="O41"/>
      <c r="P41"/>
      <c r="Q41"/>
      <c r="R41"/>
      <c r="S41"/>
      <c r="T41"/>
      <c r="U41"/>
      <c r="V41"/>
      <c r="W41"/>
    </row>
    <row r="42" spans="3:23" ht="15.6">
      <c r="C42"/>
      <c r="D42"/>
      <c r="E42"/>
      <c r="F42"/>
      <c r="G42"/>
      <c r="H42"/>
      <c r="I42"/>
      <c r="J42"/>
      <c r="K42"/>
      <c r="L42"/>
      <c r="M42"/>
      <c r="N42"/>
      <c r="O42"/>
      <c r="P42"/>
      <c r="Q42"/>
      <c r="R42"/>
      <c r="S42"/>
      <c r="T42"/>
      <c r="U42"/>
      <c r="V42"/>
      <c r="W42"/>
    </row>
    <row r="43" spans="3:23" ht="15.6">
      <c r="C43"/>
      <c r="D43"/>
      <c r="E43"/>
      <c r="F43"/>
      <c r="G43"/>
      <c r="H43"/>
      <c r="I43"/>
      <c r="J43"/>
      <c r="K43"/>
      <c r="L43"/>
      <c r="M43"/>
      <c r="N43"/>
      <c r="O43"/>
      <c r="P43"/>
      <c r="Q43"/>
      <c r="R43"/>
      <c r="S43"/>
      <c r="T43"/>
      <c r="U43"/>
      <c r="V43"/>
      <c r="W43"/>
    </row>
    <row r="44" spans="3:23" ht="15.6">
      <c r="C44"/>
      <c r="D44"/>
      <c r="E44"/>
      <c r="F44"/>
      <c r="G44"/>
      <c r="H44"/>
      <c r="I44"/>
      <c r="J44"/>
      <c r="K44"/>
      <c r="L44"/>
      <c r="M44"/>
      <c r="N44"/>
      <c r="O44"/>
      <c r="P44"/>
      <c r="Q44"/>
      <c r="R44"/>
      <c r="S44"/>
      <c r="T44"/>
      <c r="U44"/>
      <c r="V44"/>
      <c r="W44"/>
    </row>
  </sheetData>
  <mergeCells count="3">
    <mergeCell ref="C2:Q2"/>
    <mergeCell ref="F6:P6"/>
    <mergeCell ref="D8:D18"/>
  </mergeCells>
  <pageMargins left="0.7" right="0.7" top="0.75" bottom="0.75" header="0.3" footer="0.3"/>
  <pageSetup orientation="portrait" horizontalDpi="75" verticalDpi="75" r:id="rId1"/>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CalculateSensitivity">
                <anchor moveWithCells="1" sizeWithCells="1">
                  <from>
                    <xdr:col>5</xdr:col>
                    <xdr:colOff>38100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8196" r:id="rId5" name="Button 4">
              <controlPr defaultSize="0" print="0" autoFill="0" autoPict="0" macro="[0]!ClearSensitivity">
                <anchor moveWithCells="1" sizeWithCells="1">
                  <from>
                    <xdr:col>8</xdr:col>
                    <xdr:colOff>0</xdr:colOff>
                    <xdr:row>3</xdr:row>
                    <xdr:rowOff>0</xdr:rowOff>
                  </from>
                  <to>
                    <xdr:col>10</xdr:col>
                    <xdr:colOff>22860</xdr:colOff>
                    <xdr:row>4</xdr:row>
                    <xdr:rowOff>0</xdr:rowOff>
                  </to>
                </anchor>
              </controlPr>
            </control>
          </mc:Choice>
        </mc:AlternateContent>
        <mc:AlternateContent xmlns:mc="http://schemas.openxmlformats.org/markup-compatibility/2006">
          <mc:Choice Requires="x14">
            <control shapeId="8197" r:id="rId6" name="Button 5">
              <controlPr defaultSize="0" print="0" autoFill="0" autoPict="0" macro="[0]!Upside">
                <anchor moveWithCells="1" sizeWithCells="1">
                  <from>
                    <xdr:col>11</xdr:col>
                    <xdr:colOff>38100</xdr:colOff>
                    <xdr:row>3</xdr:row>
                    <xdr:rowOff>22860</xdr:rowOff>
                  </from>
                  <to>
                    <xdr:col>13</xdr:col>
                    <xdr:colOff>68580</xdr:colOff>
                    <xdr:row>4</xdr:row>
                    <xdr:rowOff>22860</xdr:rowOff>
                  </to>
                </anchor>
              </controlPr>
            </control>
          </mc:Choice>
        </mc:AlternateContent>
        <mc:AlternateContent xmlns:mc="http://schemas.openxmlformats.org/markup-compatibility/2006">
          <mc:Choice Requires="x14">
            <control shapeId="8198" r:id="rId7" name="Button 6">
              <controlPr defaultSize="0" print="0" autoFill="0" autoPict="0" macro="[0]!Downside">
                <anchor moveWithCells="1" sizeWithCells="1">
                  <from>
                    <xdr:col>14</xdr:col>
                    <xdr:colOff>0</xdr:colOff>
                    <xdr:row>3</xdr:row>
                    <xdr:rowOff>0</xdr:rowOff>
                  </from>
                  <to>
                    <xdr:col>16</xdr:col>
                    <xdr:colOff>22860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6" tint="-0.249977111117893"/>
  </sheetPr>
  <dimension ref="B3:Q43"/>
  <sheetViews>
    <sheetView showGridLines="0" zoomScale="70" zoomScaleNormal="70" workbookViewId="0">
      <selection activeCell="C9" sqref="C9:O21"/>
    </sheetView>
  </sheetViews>
  <sheetFormatPr defaultRowHeight="14.4"/>
  <cols>
    <col min="3" max="3" width="13.77734375" bestFit="1" customWidth="1"/>
    <col min="4" max="4" width="8.44140625" bestFit="1" customWidth="1"/>
    <col min="5" max="6" width="10.5546875" bestFit="1" customWidth="1"/>
    <col min="7" max="7" width="12.44140625" bestFit="1" customWidth="1"/>
    <col min="8" max="8" width="10.5546875" bestFit="1" customWidth="1"/>
    <col min="9" max="10" width="12.44140625" bestFit="1" customWidth="1"/>
    <col min="11" max="11" width="10.5546875" bestFit="1" customWidth="1"/>
    <col min="12" max="12" width="12.44140625" bestFit="1" customWidth="1"/>
    <col min="13" max="14" width="10.5546875" bestFit="1" customWidth="1"/>
    <col min="15" max="15" width="9.77734375" bestFit="1" customWidth="1"/>
  </cols>
  <sheetData>
    <row r="3" spans="2:17">
      <c r="B3" s="244" t="s">
        <v>106</v>
      </c>
      <c r="C3" s="244"/>
      <c r="D3" s="244"/>
      <c r="E3" s="244"/>
      <c r="F3" s="244"/>
      <c r="G3" s="244"/>
      <c r="H3" s="244"/>
      <c r="I3" s="244"/>
      <c r="J3" s="244"/>
      <c r="K3" s="244"/>
      <c r="L3" s="244"/>
      <c r="M3" s="244"/>
      <c r="N3" s="244"/>
      <c r="O3" s="244"/>
      <c r="P3" s="244"/>
      <c r="Q3" s="244"/>
    </row>
    <row r="4" spans="2:17">
      <c r="B4" s="245"/>
      <c r="C4" s="245"/>
      <c r="D4" s="245"/>
      <c r="E4" s="245"/>
      <c r="F4" s="245"/>
      <c r="G4" s="245"/>
      <c r="H4" s="245"/>
      <c r="I4" s="245"/>
      <c r="J4" s="245"/>
      <c r="K4" s="245"/>
      <c r="L4" s="245"/>
      <c r="M4" s="245"/>
      <c r="N4" s="245"/>
      <c r="O4" s="245"/>
      <c r="P4" s="245"/>
      <c r="Q4" s="245"/>
    </row>
    <row r="5" spans="2:17">
      <c r="B5" s="1"/>
      <c r="C5" s="2"/>
      <c r="D5" s="2"/>
      <c r="E5" s="2"/>
      <c r="F5" s="2"/>
      <c r="G5" s="2"/>
      <c r="H5" s="2"/>
      <c r="I5" s="2"/>
      <c r="J5" s="2"/>
      <c r="K5" s="2"/>
      <c r="L5" s="2"/>
      <c r="M5" s="2"/>
      <c r="N5" s="2"/>
      <c r="O5" s="2"/>
      <c r="P5" s="2"/>
      <c r="Q5" s="176"/>
    </row>
    <row r="6" spans="2:17">
      <c r="B6" s="3"/>
      <c r="C6" s="175" t="s">
        <v>104</v>
      </c>
      <c r="D6" t="s">
        <v>314</v>
      </c>
      <c r="E6" s="4"/>
      <c r="F6" s="4"/>
      <c r="G6" s="4"/>
      <c r="H6" s="4"/>
      <c r="I6" s="4"/>
      <c r="J6" s="4"/>
      <c r="K6" s="4"/>
      <c r="L6" s="4"/>
      <c r="M6" s="4"/>
      <c r="N6" s="4"/>
      <c r="O6" s="4"/>
      <c r="P6" s="4"/>
      <c r="Q6" s="5"/>
    </row>
    <row r="7" spans="2:17">
      <c r="B7" s="3"/>
      <c r="C7" s="4" t="s">
        <v>56</v>
      </c>
      <c r="D7" s="227">
        <v>105.01</v>
      </c>
      <c r="E7" s="4"/>
      <c r="F7" s="4"/>
      <c r="G7" s="174"/>
      <c r="H7" s="4"/>
      <c r="I7" s="4"/>
      <c r="J7" s="4"/>
      <c r="K7" s="4"/>
      <c r="L7" s="4"/>
      <c r="M7" s="4"/>
      <c r="N7" s="4"/>
      <c r="O7" s="4"/>
      <c r="P7" s="4"/>
      <c r="Q7" s="5"/>
    </row>
    <row r="8" spans="2:17">
      <c r="B8" s="3"/>
      <c r="C8" s="4" t="s">
        <v>103</v>
      </c>
      <c r="D8" s="227">
        <v>80.02</v>
      </c>
      <c r="E8" s="4"/>
      <c r="F8" s="4"/>
      <c r="G8" s="174"/>
      <c r="H8" s="4"/>
      <c r="I8" s="4"/>
      <c r="J8" s="4"/>
      <c r="K8" s="4"/>
      <c r="L8" s="4"/>
      <c r="M8" s="4"/>
      <c r="N8" s="4"/>
      <c r="O8" s="4"/>
      <c r="P8" s="4"/>
      <c r="Q8" s="5"/>
    </row>
    <row r="9" spans="2:17" ht="15.6">
      <c r="B9" s="3"/>
      <c r="C9" s="136"/>
      <c r="D9" s="137"/>
      <c r="E9" s="238" t="s">
        <v>32</v>
      </c>
      <c r="F9" s="239"/>
      <c r="G9" s="239"/>
      <c r="H9" s="239"/>
      <c r="I9" s="239"/>
      <c r="J9" s="239"/>
      <c r="K9" s="239"/>
      <c r="L9" s="239"/>
      <c r="M9" s="239"/>
      <c r="N9" s="239"/>
      <c r="O9" s="240"/>
      <c r="Q9" s="5"/>
    </row>
    <row r="10" spans="2:17" ht="15.6">
      <c r="B10" s="3"/>
      <c r="C10" s="156" t="str">
        <f>Stock!A7</f>
        <v>Ask:</v>
      </c>
      <c r="D10" s="141" t="e">
        <f>((DCF!E36/(O6-O7))+DCF!G32)/DCF!E41</f>
        <v>#DIV/0!</v>
      </c>
      <c r="E10" s="142">
        <f t="shared" ref="E10:I10" si="0">F10-0.01</f>
        <v>-0.05</v>
      </c>
      <c r="F10" s="142">
        <f t="shared" si="0"/>
        <v>-0.04</v>
      </c>
      <c r="G10" s="142">
        <f t="shared" si="0"/>
        <v>-0.03</v>
      </c>
      <c r="H10" s="142">
        <f t="shared" si="0"/>
        <v>-0.02</v>
      </c>
      <c r="I10" s="142">
        <f t="shared" si="0"/>
        <v>-0.01</v>
      </c>
      <c r="J10" s="142">
        <f>O6</f>
        <v>0</v>
      </c>
      <c r="K10" s="142">
        <f>J10+0.01</f>
        <v>0.01</v>
      </c>
      <c r="L10" s="142">
        <f>K10+0.01</f>
        <v>0.02</v>
      </c>
      <c r="M10" s="142">
        <f>L10+0.01</f>
        <v>0.03</v>
      </c>
      <c r="N10" s="142">
        <f>M10+0.01</f>
        <v>0.04</v>
      </c>
      <c r="O10" s="142">
        <f>N10+0.01</f>
        <v>0.05</v>
      </c>
      <c r="Q10" s="5"/>
    </row>
    <row r="11" spans="2:17" ht="15.6" customHeight="1">
      <c r="B11" s="3"/>
      <c r="C11" s="241" t="s">
        <v>58</v>
      </c>
      <c r="D11" s="142">
        <f t="shared" ref="D11:D14" si="1">D12-0.01</f>
        <v>-0.05</v>
      </c>
      <c r="E11" s="181">
        <v>105.00764753172507</v>
      </c>
      <c r="F11" s="181">
        <v>-299.69048686864988</v>
      </c>
      <c r="G11" s="181">
        <v>-58.922848060993431</v>
      </c>
      <c r="H11" s="181">
        <v>-34.356327067971868</v>
      </c>
      <c r="I11" s="181">
        <v>-27.410872419815465</v>
      </c>
      <c r="J11" s="182">
        <v>-27.410872419815465</v>
      </c>
      <c r="K11" s="183">
        <v>-34.356327067971868</v>
      </c>
      <c r="L11" s="181">
        <v>-58.922848060993431</v>
      </c>
      <c r="M11" s="181">
        <v>-299.69048686865011</v>
      </c>
      <c r="N11" s="181">
        <v>105.00764753172506</v>
      </c>
      <c r="O11" s="181">
        <v>48.553486567137988</v>
      </c>
      <c r="Q11" s="5"/>
    </row>
    <row r="12" spans="2:17" ht="15">
      <c r="B12" s="3"/>
      <c r="C12" s="242"/>
      <c r="D12" s="142">
        <f t="shared" si="1"/>
        <v>-0.04</v>
      </c>
      <c r="E12" s="181">
        <v>53.480109148447802</v>
      </c>
      <c r="F12" s="181">
        <v>105.00764753172506</v>
      </c>
      <c r="G12" s="181">
        <v>2948.2652795019562</v>
      </c>
      <c r="H12" s="181">
        <v>-135.11205061646532</v>
      </c>
      <c r="I12" s="181">
        <v>-83.897416866676309</v>
      </c>
      <c r="J12" s="182">
        <v>-83.897416866676309</v>
      </c>
      <c r="K12" s="183">
        <v>-135.11205061646532</v>
      </c>
      <c r="L12" s="181">
        <v>2948.2652795019562</v>
      </c>
      <c r="M12" s="181">
        <v>105.00764753172506</v>
      </c>
      <c r="N12" s="181">
        <v>53.480109148447802</v>
      </c>
      <c r="O12" s="181">
        <v>36.992560335790515</v>
      </c>
      <c r="Q12" s="5"/>
    </row>
    <row r="13" spans="2:17" ht="15" customHeight="1">
      <c r="B13" s="3"/>
      <c r="C13" s="242"/>
      <c r="D13" s="142">
        <f t="shared" si="1"/>
        <v>-0.03</v>
      </c>
      <c r="E13" s="181">
        <v>41.627975418856714</v>
      </c>
      <c r="F13" s="181">
        <v>60.022957018552802</v>
      </c>
      <c r="G13" s="181">
        <v>105.0076475317251</v>
      </c>
      <c r="H13" s="181">
        <v>271.75538646804659</v>
      </c>
      <c r="I13" s="181">
        <v>2948.2652795019562</v>
      </c>
      <c r="J13" s="182">
        <v>2948.2652795019562</v>
      </c>
      <c r="K13" s="183">
        <v>271.75538646804659</v>
      </c>
      <c r="L13" s="181">
        <v>105.0076475317251</v>
      </c>
      <c r="M13" s="181">
        <v>60.022957018552802</v>
      </c>
      <c r="N13" s="181">
        <v>41.627975418856714</v>
      </c>
      <c r="O13" s="181">
        <v>32.342336804064267</v>
      </c>
      <c r="Q13" s="5"/>
    </row>
    <row r="14" spans="2:17" ht="15" customHeight="1">
      <c r="B14" s="3"/>
      <c r="C14" s="242"/>
      <c r="D14" s="142">
        <f t="shared" si="1"/>
        <v>-0.02</v>
      </c>
      <c r="E14" s="181">
        <v>36.992560335790515</v>
      </c>
      <c r="F14" s="181">
        <v>48.553486567138002</v>
      </c>
      <c r="G14" s="181">
        <v>69.133412190907407</v>
      </c>
      <c r="H14" s="181">
        <v>105.00764753172511</v>
      </c>
      <c r="I14" s="181">
        <v>148.61254550132708</v>
      </c>
      <c r="J14" s="182">
        <v>148.61254550132708</v>
      </c>
      <c r="K14" s="183">
        <v>105.00764753172511</v>
      </c>
      <c r="L14" s="181">
        <v>69.133412190907407</v>
      </c>
      <c r="M14" s="181">
        <v>48.553486567138002</v>
      </c>
      <c r="N14" s="181">
        <v>36.992560335790515</v>
      </c>
      <c r="O14" s="181">
        <v>30.148852051638066</v>
      </c>
      <c r="Q14" s="5"/>
    </row>
    <row r="15" spans="2:17" ht="15" customHeight="1">
      <c r="B15" s="3"/>
      <c r="C15" s="242"/>
      <c r="D15" s="142">
        <f>D16-0.01</f>
        <v>-0.01</v>
      </c>
      <c r="E15" s="181">
        <v>35.205769174816773</v>
      </c>
      <c r="F15" s="181">
        <v>44.710060118980209</v>
      </c>
      <c r="G15" s="181">
        <v>60.022957018552816</v>
      </c>
      <c r="H15" s="181">
        <v>82.691837422713505</v>
      </c>
      <c r="I15" s="181">
        <v>105.00764753172511</v>
      </c>
      <c r="J15" s="182">
        <v>105.00764753172511</v>
      </c>
      <c r="K15" s="183">
        <v>82.691837422713505</v>
      </c>
      <c r="L15" s="181">
        <v>60.022957018552816</v>
      </c>
      <c r="M15" s="181">
        <v>44.710060118980209</v>
      </c>
      <c r="N15" s="181">
        <v>35.205769174816773</v>
      </c>
      <c r="O15" s="181">
        <v>29.233925787002324</v>
      </c>
      <c r="Q15" s="5"/>
    </row>
    <row r="16" spans="2:17" ht="15" customHeight="1">
      <c r="B16" s="3"/>
      <c r="C16" s="242"/>
      <c r="D16" s="142">
        <f>O7</f>
        <v>0</v>
      </c>
      <c r="E16" s="182">
        <v>35.205769174816773</v>
      </c>
      <c r="F16" s="182">
        <v>44.710060118980209</v>
      </c>
      <c r="G16" s="182">
        <v>60.022957018552816</v>
      </c>
      <c r="H16" s="182">
        <v>82.691837422713505</v>
      </c>
      <c r="I16" s="182">
        <v>105.00764753172511</v>
      </c>
      <c r="J16" s="182">
        <v>105.00764753172511</v>
      </c>
      <c r="K16" s="182">
        <v>82.691837422713505</v>
      </c>
      <c r="L16" s="182">
        <v>60.022957018552816</v>
      </c>
      <c r="M16" s="182">
        <v>44.710060118980209</v>
      </c>
      <c r="N16" s="182">
        <v>35.205769174816773</v>
      </c>
      <c r="O16" s="182">
        <v>29.233925787002324</v>
      </c>
      <c r="Q16" s="5"/>
    </row>
    <row r="17" spans="2:17" ht="15" customHeight="1">
      <c r="B17" s="3"/>
      <c r="C17" s="242"/>
      <c r="D17" s="142">
        <f>D16+0.01</f>
        <v>0.01</v>
      </c>
      <c r="E17" s="181">
        <v>36.992560335790515</v>
      </c>
      <c r="F17" s="181">
        <v>48.553486567138002</v>
      </c>
      <c r="G17" s="181">
        <v>69.133412190907407</v>
      </c>
      <c r="H17" s="181">
        <v>105.00764753172511</v>
      </c>
      <c r="I17" s="181">
        <v>148.61254550132708</v>
      </c>
      <c r="J17" s="182">
        <v>148.61254550132708</v>
      </c>
      <c r="K17" s="183">
        <v>105.00764753172511</v>
      </c>
      <c r="L17" s="181">
        <v>69.133412190907407</v>
      </c>
      <c r="M17" s="181">
        <v>48.553486567138002</v>
      </c>
      <c r="N17" s="181">
        <v>36.992560335790515</v>
      </c>
      <c r="O17" s="181">
        <v>30.148852051638066</v>
      </c>
      <c r="Q17" s="5"/>
    </row>
    <row r="18" spans="2:17" ht="15" customHeight="1">
      <c r="B18" s="3"/>
      <c r="C18" s="242"/>
      <c r="D18" s="142">
        <f t="shared" ref="D18:D21" si="2">D17+0.01</f>
        <v>0.02</v>
      </c>
      <c r="E18" s="181">
        <v>41.627975418856714</v>
      </c>
      <c r="F18" s="181">
        <v>60.022957018552802</v>
      </c>
      <c r="G18" s="181">
        <v>105.0076475317251</v>
      </c>
      <c r="H18" s="181">
        <v>271.75538646804659</v>
      </c>
      <c r="I18" s="181">
        <v>2948.2652795019562</v>
      </c>
      <c r="J18" s="182">
        <v>2948.2652795019562</v>
      </c>
      <c r="K18" s="183">
        <v>271.75538646804659</v>
      </c>
      <c r="L18" s="181">
        <v>105.0076475317251</v>
      </c>
      <c r="M18" s="181">
        <v>60.022957018552802</v>
      </c>
      <c r="N18" s="181">
        <v>41.627975418856714</v>
      </c>
      <c r="O18" s="181">
        <v>32.342336804064267</v>
      </c>
      <c r="Q18" s="5"/>
    </row>
    <row r="19" spans="2:17" ht="15" customHeight="1">
      <c r="B19" s="3"/>
      <c r="C19" s="242"/>
      <c r="D19" s="142">
        <f t="shared" si="2"/>
        <v>0.03</v>
      </c>
      <c r="E19" s="181">
        <v>53.480109148447802</v>
      </c>
      <c r="F19" s="181">
        <v>105.00764753172506</v>
      </c>
      <c r="G19" s="181">
        <v>2948.2652795019562</v>
      </c>
      <c r="H19" s="181">
        <v>-135.11205061646532</v>
      </c>
      <c r="I19" s="181">
        <v>-83.897416866676309</v>
      </c>
      <c r="J19" s="182">
        <v>-83.897416866676309</v>
      </c>
      <c r="K19" s="183">
        <v>-135.11205061646532</v>
      </c>
      <c r="L19" s="181">
        <v>2948.2652795019562</v>
      </c>
      <c r="M19" s="181">
        <v>105.00764753172506</v>
      </c>
      <c r="N19" s="181">
        <v>53.480109148447802</v>
      </c>
      <c r="O19" s="181">
        <v>36.992560335790515</v>
      </c>
      <c r="Q19" s="5"/>
    </row>
    <row r="20" spans="2:17" ht="15" customHeight="1">
      <c r="B20" s="3"/>
      <c r="C20" s="242"/>
      <c r="D20" s="142">
        <f t="shared" si="2"/>
        <v>0.04</v>
      </c>
      <c r="E20" s="181">
        <v>105.00764753172507</v>
      </c>
      <c r="F20" s="181">
        <v>-299.69048686865</v>
      </c>
      <c r="G20" s="181">
        <v>-58.922848060993431</v>
      </c>
      <c r="H20" s="181">
        <v>-34.356327067971861</v>
      </c>
      <c r="I20" s="181">
        <v>-27.410872419815458</v>
      </c>
      <c r="J20" s="182">
        <v>-27.410872419815458</v>
      </c>
      <c r="K20" s="183">
        <v>-34.356327067971861</v>
      </c>
      <c r="L20" s="181">
        <v>-58.922848060993431</v>
      </c>
      <c r="M20" s="181">
        <v>-299.69048686865</v>
      </c>
      <c r="N20" s="181">
        <v>105.00764753172507</v>
      </c>
      <c r="O20" s="181">
        <v>48.553486567137988</v>
      </c>
      <c r="Q20" s="5"/>
    </row>
    <row r="21" spans="2:17" ht="15" customHeight="1">
      <c r="B21" s="3"/>
      <c r="C21" s="243"/>
      <c r="D21" s="142">
        <f t="shared" si="2"/>
        <v>0.05</v>
      </c>
      <c r="E21" s="181">
        <v>-135.11205061646532</v>
      </c>
      <c r="F21" s="181">
        <v>-34.356327067971868</v>
      </c>
      <c r="G21" s="181">
        <v>-18.200427938822795</v>
      </c>
      <c r="H21" s="181">
        <v>-12.368864253133271</v>
      </c>
      <c r="I21" s="181">
        <v>-10.187934567299106</v>
      </c>
      <c r="J21" s="182">
        <v>-10.187934567299106</v>
      </c>
      <c r="K21" s="183">
        <v>-12.368864253133271</v>
      </c>
      <c r="L21" s="181">
        <v>-18.200427938822795</v>
      </c>
      <c r="M21" s="181">
        <v>-34.356327067971868</v>
      </c>
      <c r="N21" s="181">
        <v>-135.11205061646532</v>
      </c>
      <c r="O21" s="181">
        <v>105.00764753172503</v>
      </c>
      <c r="Q21" s="5"/>
    </row>
    <row r="22" spans="2:17">
      <c r="B22" s="3"/>
      <c r="C22" s="4"/>
      <c r="D22" s="4"/>
      <c r="E22" s="4"/>
      <c r="F22" s="4"/>
      <c r="G22" s="4"/>
      <c r="H22" s="4"/>
      <c r="I22" s="4"/>
      <c r="J22" s="4"/>
      <c r="K22" s="4"/>
      <c r="L22" s="4"/>
      <c r="M22" s="4"/>
      <c r="N22" s="4"/>
      <c r="O22" s="4"/>
      <c r="P22" s="4"/>
      <c r="Q22" s="5"/>
    </row>
    <row r="23" spans="2:17">
      <c r="B23" s="6"/>
      <c r="C23" s="7"/>
      <c r="D23" s="7"/>
      <c r="E23" s="7"/>
      <c r="F23" s="7"/>
      <c r="G23" s="7"/>
      <c r="H23" s="7"/>
      <c r="I23" s="7"/>
      <c r="J23" s="7"/>
      <c r="K23" s="7"/>
      <c r="L23" s="7"/>
      <c r="M23" s="7"/>
      <c r="N23" s="7"/>
      <c r="O23" s="7"/>
      <c r="P23" s="7"/>
      <c r="Q23" s="8"/>
    </row>
    <row r="25" spans="2:17">
      <c r="B25" s="1"/>
      <c r="C25" s="2"/>
      <c r="D25" s="2"/>
      <c r="E25" s="2"/>
      <c r="F25" s="2"/>
      <c r="G25" s="2"/>
      <c r="H25" s="2"/>
      <c r="I25" s="2"/>
      <c r="J25" s="2"/>
      <c r="K25" s="2"/>
      <c r="L25" s="2"/>
      <c r="M25" s="2"/>
      <c r="N25" s="2"/>
      <c r="O25" s="2"/>
      <c r="P25" s="2"/>
      <c r="Q25" s="176"/>
    </row>
    <row r="26" spans="2:17">
      <c r="B26" s="3"/>
      <c r="C26" s="175" t="s">
        <v>104</v>
      </c>
      <c r="E26" s="4"/>
      <c r="F26" s="4"/>
      <c r="G26" s="4"/>
      <c r="H26" s="4"/>
      <c r="I26" s="4"/>
      <c r="J26" s="4"/>
      <c r="K26" s="4"/>
      <c r="L26" s="4"/>
      <c r="M26" s="4"/>
      <c r="N26" s="4"/>
      <c r="O26" s="4"/>
      <c r="P26" s="4"/>
      <c r="Q26" s="5"/>
    </row>
    <row r="27" spans="2:17">
      <c r="B27" s="3"/>
      <c r="C27" s="4" t="s">
        <v>56</v>
      </c>
      <c r="E27" s="4"/>
      <c r="F27" s="4"/>
      <c r="G27" s="4"/>
      <c r="H27" s="4"/>
      <c r="I27" s="4"/>
      <c r="J27" s="4"/>
      <c r="K27" s="4"/>
      <c r="L27" s="4"/>
      <c r="M27" s="4"/>
      <c r="N27" s="4"/>
      <c r="O27" s="4"/>
      <c r="P27" s="4"/>
      <c r="Q27" s="5"/>
    </row>
    <row r="28" spans="2:17">
      <c r="B28" s="3"/>
      <c r="C28" s="4" t="s">
        <v>103</v>
      </c>
      <c r="E28" s="4"/>
      <c r="F28" s="4"/>
      <c r="G28" s="4"/>
      <c r="H28" s="4"/>
      <c r="I28" s="4"/>
      <c r="J28" s="4"/>
      <c r="K28" s="4"/>
      <c r="L28" s="4"/>
      <c r="M28" s="4"/>
      <c r="N28" s="4"/>
      <c r="O28" s="4"/>
      <c r="P28" s="4"/>
      <c r="Q28" s="5"/>
    </row>
    <row r="29" spans="2:17">
      <c r="B29" s="3"/>
      <c r="Q29" s="5"/>
    </row>
    <row r="30" spans="2:17">
      <c r="B30" s="3"/>
      <c r="Q30" s="5"/>
    </row>
    <row r="31" spans="2:17">
      <c r="B31" s="3"/>
      <c r="Q31" s="5"/>
    </row>
    <row r="32" spans="2:17">
      <c r="B32" s="3"/>
      <c r="Q32" s="5"/>
    </row>
    <row r="33" spans="2:17">
      <c r="B33" s="3"/>
      <c r="Q33" s="5"/>
    </row>
    <row r="34" spans="2:17">
      <c r="B34" s="3"/>
      <c r="Q34" s="5"/>
    </row>
    <row r="35" spans="2:17">
      <c r="B35" s="3"/>
      <c r="Q35" s="5"/>
    </row>
    <row r="36" spans="2:17">
      <c r="B36" s="3"/>
      <c r="Q36" s="5"/>
    </row>
    <row r="37" spans="2:17">
      <c r="B37" s="3"/>
      <c r="Q37" s="5"/>
    </row>
    <row r="38" spans="2:17">
      <c r="B38" s="3"/>
      <c r="Q38" s="5"/>
    </row>
    <row r="39" spans="2:17">
      <c r="B39" s="3"/>
      <c r="Q39" s="5"/>
    </row>
    <row r="40" spans="2:17">
      <c r="B40" s="3"/>
      <c r="Q40" s="5"/>
    </row>
    <row r="41" spans="2:17">
      <c r="B41" s="3"/>
      <c r="Q41" s="5"/>
    </row>
    <row r="42" spans="2:17">
      <c r="B42" s="3"/>
      <c r="C42" s="4"/>
      <c r="D42" s="4"/>
      <c r="E42" s="4"/>
      <c r="F42" s="4"/>
      <c r="G42" s="4"/>
      <c r="H42" s="4"/>
      <c r="I42" s="4"/>
      <c r="J42" s="4"/>
      <c r="K42" s="4"/>
      <c r="L42" s="4"/>
      <c r="M42" s="4"/>
      <c r="N42" s="4"/>
      <c r="O42" s="4"/>
      <c r="P42" s="4"/>
      <c r="Q42" s="5"/>
    </row>
    <row r="43" spans="2:17">
      <c r="B43" s="6"/>
      <c r="C43" s="7"/>
      <c r="D43" s="7"/>
      <c r="E43" s="7"/>
      <c r="F43" s="7"/>
      <c r="G43" s="7"/>
      <c r="H43" s="7"/>
      <c r="I43" s="7"/>
      <c r="J43" s="7"/>
      <c r="K43" s="7"/>
      <c r="L43" s="7"/>
      <c r="M43" s="7"/>
      <c r="N43" s="7"/>
      <c r="O43" s="7"/>
      <c r="P43" s="7"/>
      <c r="Q43" s="8"/>
    </row>
  </sheetData>
  <mergeCells count="3">
    <mergeCell ref="B3:Q4"/>
    <mergeCell ref="E9:O9"/>
    <mergeCell ref="C11:C21"/>
  </mergeCells>
  <pageMargins left="0.7" right="0.7" top="0.75" bottom="0.75" header="0.3" footer="0.3"/>
  <pageSetup orientation="portrait" horizontalDpi="75" verticalDpi="75"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removeStock1">
                <anchor moveWithCells="1" sizeWithCells="1">
                  <from>
                    <xdr:col>4</xdr:col>
                    <xdr:colOff>152400</xdr:colOff>
                    <xdr:row>5</xdr:row>
                    <xdr:rowOff>38100</xdr:rowOff>
                  </from>
                  <to>
                    <xdr:col>7</xdr:col>
                    <xdr:colOff>190500</xdr:colOff>
                    <xdr:row>7</xdr:row>
                    <xdr:rowOff>53340</xdr:rowOff>
                  </to>
                </anchor>
              </controlPr>
            </control>
          </mc:Choice>
        </mc:AlternateContent>
        <mc:AlternateContent xmlns:mc="http://schemas.openxmlformats.org/markup-compatibility/2006">
          <mc:Choice Requires="x14">
            <control shapeId="16386" r:id="rId5" name="Button 2">
              <controlPr defaultSize="0" print="0" autoFill="0" autoPict="0" macro="[0]!removeStock2">
                <anchor moveWithCells="1" sizeWithCells="1">
                  <from>
                    <xdr:col>4</xdr:col>
                    <xdr:colOff>358140</xdr:colOff>
                    <xdr:row>25</xdr:row>
                    <xdr:rowOff>83820</xdr:rowOff>
                  </from>
                  <to>
                    <xdr:col>7</xdr:col>
                    <xdr:colOff>365760</xdr:colOff>
                    <xdr:row>27</xdr:row>
                    <xdr:rowOff>99060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6" tint="-0.249977111117893"/>
  </sheetPr>
  <dimension ref="A2:N65"/>
  <sheetViews>
    <sheetView showGridLines="0" zoomScale="90" zoomScaleNormal="90" workbookViewId="0">
      <selection activeCell="H10" sqref="H10"/>
    </sheetView>
  </sheetViews>
  <sheetFormatPr defaultColWidth="8.6640625" defaultRowHeight="14.4"/>
  <cols>
    <col min="1" max="1" width="3.5546875" style="4" customWidth="1"/>
    <col min="2" max="2" width="3" style="4" customWidth="1"/>
    <col min="3" max="4" width="8.6640625" style="4"/>
    <col min="5" max="5" width="13.6640625" style="4" bestFit="1" customWidth="1"/>
    <col min="6" max="6" width="17" style="4" customWidth="1"/>
    <col min="7" max="12" width="13.6640625" style="4" bestFit="1" customWidth="1"/>
    <col min="13" max="16384" width="8.6640625" style="4"/>
  </cols>
  <sheetData>
    <row r="2" spans="2:14" customFormat="1">
      <c r="B2" s="249" t="s">
        <v>15</v>
      </c>
      <c r="C2" s="250"/>
      <c r="D2" s="250"/>
      <c r="E2" s="250"/>
      <c r="F2" s="250"/>
      <c r="G2" s="250"/>
      <c r="H2" s="250"/>
      <c r="I2" s="250"/>
      <c r="J2" s="250"/>
      <c r="K2" s="250"/>
      <c r="L2" s="251"/>
    </row>
    <row r="3" spans="2:14" customFormat="1">
      <c r="B3" s="1"/>
      <c r="C3" s="2"/>
      <c r="D3" s="2"/>
      <c r="E3" s="67" t="s">
        <v>16</v>
      </c>
      <c r="F3" s="67" t="s">
        <v>8</v>
      </c>
      <c r="G3" s="78" t="s">
        <v>9</v>
      </c>
      <c r="H3" s="67" t="s">
        <v>10</v>
      </c>
      <c r="I3" s="67" t="s">
        <v>11</v>
      </c>
      <c r="J3" s="67" t="s">
        <v>12</v>
      </c>
      <c r="K3" s="67" t="s">
        <v>13</v>
      </c>
      <c r="L3" s="68" t="s">
        <v>14</v>
      </c>
    </row>
    <row r="4" spans="2:14" customFormat="1">
      <c r="B4" s="14" t="s">
        <v>0</v>
      </c>
      <c r="C4" s="4"/>
      <c r="D4" s="28"/>
      <c r="E4" s="69">
        <f>IS!$E$13</f>
        <v>73723000</v>
      </c>
      <c r="F4" s="69">
        <f>IS!$D$13</f>
        <v>77849000</v>
      </c>
      <c r="G4" s="79">
        <f>IS!$C$13</f>
        <v>86833000</v>
      </c>
      <c r="H4" s="70">
        <f>G4*(1+H5)</f>
        <v>94273248.588104516</v>
      </c>
      <c r="I4" s="70">
        <f t="shared" ref="I4:L4" si="0">H4*(1+I5)</f>
        <v>96158713.559866607</v>
      </c>
      <c r="J4" s="70">
        <f t="shared" si="0"/>
        <v>99043474.966662601</v>
      </c>
      <c r="K4" s="70">
        <f t="shared" si="0"/>
        <v>107529972.89696187</v>
      </c>
      <c r="L4" s="74">
        <f t="shared" si="0"/>
        <v>116743632.78462598</v>
      </c>
    </row>
    <row r="5" spans="2:14" customFormat="1">
      <c r="B5" s="3"/>
      <c r="C5" s="18" t="s">
        <v>7</v>
      </c>
      <c r="D5" s="28"/>
      <c r="E5" s="54"/>
      <c r="F5" s="149">
        <f>F4/E4-1</f>
        <v>5.5966252051598442E-2</v>
      </c>
      <c r="G5" s="151">
        <f>G4/F4-1</f>
        <v>0.11540289534868786</v>
      </c>
      <c r="H5" s="149">
        <f>AVERAGE(F5:G5)</f>
        <v>8.5684573700143152E-2</v>
      </c>
      <c r="I5" s="149">
        <v>0.02</v>
      </c>
      <c r="J5" s="149">
        <v>0.03</v>
      </c>
      <c r="K5" s="149">
        <v>8.5684573700143152E-2</v>
      </c>
      <c r="L5" s="149">
        <v>8.5684573700143152E-2</v>
      </c>
      <c r="N5" s="4"/>
    </row>
    <row r="6" spans="2:14" customFormat="1">
      <c r="B6" s="9" t="s">
        <v>2</v>
      </c>
      <c r="C6" s="2"/>
      <c r="D6" s="81"/>
      <c r="E6" s="72">
        <f>IS!$E$27</f>
        <v>21763000</v>
      </c>
      <c r="F6" s="72">
        <f>IS!$D$27</f>
        <v>26764000</v>
      </c>
      <c r="G6" s="80">
        <f>IS!$E$27</f>
        <v>21763000</v>
      </c>
      <c r="H6" s="73">
        <f>H7*H4</f>
        <v>27955910.865952179</v>
      </c>
      <c r="I6" s="73">
        <f>I7*I4</f>
        <v>28515029.083271224</v>
      </c>
      <c r="J6" s="73">
        <f>J7*J4</f>
        <v>29370479.95576936</v>
      </c>
      <c r="K6" s="73">
        <f>K7*K4</f>
        <v>31887077.010148052</v>
      </c>
      <c r="L6" s="74">
        <f>L7*L4</f>
        <v>34619307.610306218</v>
      </c>
      <c r="N6" s="4"/>
    </row>
    <row r="7" spans="2:14" customFormat="1">
      <c r="B7" s="3"/>
      <c r="C7" s="18" t="s">
        <v>17</v>
      </c>
      <c r="D7" s="28"/>
      <c r="E7" s="149">
        <f>E6/E4</f>
        <v>0.29519959849707689</v>
      </c>
      <c r="F7" s="149">
        <f>F6/F4</f>
        <v>0.34379375457616668</v>
      </c>
      <c r="G7" s="151">
        <f>G6/G4</f>
        <v>0.25063052065458985</v>
      </c>
      <c r="H7" s="149">
        <f>AVERAGE(E7:G7)</f>
        <v>0.29654129124261114</v>
      </c>
      <c r="I7" s="149">
        <f>H7</f>
        <v>0.29654129124261114</v>
      </c>
      <c r="J7" s="149">
        <f>I7</f>
        <v>0.29654129124261114</v>
      </c>
      <c r="K7" s="149">
        <f>J7</f>
        <v>0.29654129124261114</v>
      </c>
      <c r="L7" s="150">
        <f>K7</f>
        <v>0.29654129124261114</v>
      </c>
      <c r="N7" s="4"/>
    </row>
    <row r="8" spans="2:14" customFormat="1">
      <c r="B8" s="3"/>
      <c r="C8" s="18"/>
      <c r="D8" s="28"/>
      <c r="E8" s="4"/>
      <c r="F8" s="4"/>
      <c r="G8" s="28"/>
      <c r="H8" s="4"/>
      <c r="I8" s="4"/>
      <c r="J8" s="4"/>
      <c r="K8" s="4"/>
      <c r="L8" s="5"/>
    </row>
    <row r="9" spans="2:14" customFormat="1">
      <c r="B9" s="14" t="s">
        <v>4</v>
      </c>
      <c r="C9" s="4"/>
      <c r="D9" s="28"/>
      <c r="E9" s="69">
        <f>IF(ISNUMBER(IS!$E$32),IS!$E$32,0)</f>
        <v>0</v>
      </c>
      <c r="F9" s="69">
        <f>IF(ISNUMBER(IS!$D$32),IS!$D$32,0)</f>
        <v>0</v>
      </c>
      <c r="G9" s="79">
        <f>IF(ISNUMBER(IS!$C$32),IS!$C$32,0)</f>
        <v>0</v>
      </c>
      <c r="H9" s="70">
        <f>H10*H6</f>
        <v>0</v>
      </c>
      <c r="I9" s="70">
        <f>I10*I6</f>
        <v>0</v>
      </c>
      <c r="J9" s="70">
        <f>J10*J6</f>
        <v>0</v>
      </c>
      <c r="K9" s="70">
        <f>K10*K6</f>
        <v>0</v>
      </c>
      <c r="L9" s="71">
        <f>L10*L6</f>
        <v>0</v>
      </c>
    </row>
    <row r="10" spans="2:14" customFormat="1">
      <c r="B10" s="14"/>
      <c r="C10" s="21" t="s">
        <v>27</v>
      </c>
      <c r="D10" s="28"/>
      <c r="E10" s="149">
        <f>E9/E6</f>
        <v>0</v>
      </c>
      <c r="F10" s="149">
        <f>F9/F6</f>
        <v>0</v>
      </c>
      <c r="G10" s="151">
        <f>G9/G6</f>
        <v>0</v>
      </c>
      <c r="H10" s="149">
        <f>AVERAGE(E10:G10)</f>
        <v>0</v>
      </c>
      <c r="I10" s="149">
        <f>H10</f>
        <v>0</v>
      </c>
      <c r="J10" s="149">
        <f>I10</f>
        <v>0</v>
      </c>
      <c r="K10" s="149">
        <f>J10</f>
        <v>0</v>
      </c>
      <c r="L10" s="150">
        <f>K10</f>
        <v>0</v>
      </c>
    </row>
    <row r="11" spans="2:14" customFormat="1">
      <c r="B11" s="14"/>
      <c r="C11" s="4"/>
      <c r="D11" s="28"/>
      <c r="E11" s="4"/>
      <c r="F11" s="4"/>
      <c r="G11" s="28"/>
      <c r="H11" s="4"/>
      <c r="I11" s="4"/>
      <c r="J11" s="4"/>
      <c r="K11" s="4"/>
      <c r="L11" s="5"/>
    </row>
    <row r="12" spans="2:14" customFormat="1">
      <c r="B12" s="14" t="s">
        <v>3</v>
      </c>
      <c r="C12" s="4"/>
      <c r="D12" s="28"/>
      <c r="E12" s="70">
        <f>E6-E9</f>
        <v>21763000</v>
      </c>
      <c r="F12" s="70">
        <f t="shared" ref="F12:L12" si="1">F6-F9</f>
        <v>26764000</v>
      </c>
      <c r="G12" s="75">
        <f t="shared" si="1"/>
        <v>21763000</v>
      </c>
      <c r="H12" s="70">
        <f t="shared" si="1"/>
        <v>27955910.865952179</v>
      </c>
      <c r="I12" s="70">
        <f t="shared" si="1"/>
        <v>28515029.083271224</v>
      </c>
      <c r="J12" s="70">
        <f t="shared" si="1"/>
        <v>29370479.95576936</v>
      </c>
      <c r="K12" s="70">
        <f t="shared" si="1"/>
        <v>31887077.010148052</v>
      </c>
      <c r="L12" s="71">
        <f t="shared" si="1"/>
        <v>34619307.610306218</v>
      </c>
    </row>
    <row r="13" spans="2:14" customFormat="1">
      <c r="B13" s="14"/>
      <c r="C13" s="4"/>
      <c r="D13" s="28"/>
      <c r="E13" s="4"/>
      <c r="F13" s="4"/>
      <c r="G13" s="28"/>
      <c r="H13" s="4"/>
      <c r="I13" s="4"/>
      <c r="J13" s="4"/>
      <c r="K13" s="4"/>
      <c r="L13" s="5"/>
    </row>
    <row r="14" spans="2:14" customFormat="1">
      <c r="B14" s="14" t="s">
        <v>5</v>
      </c>
      <c r="C14" s="4"/>
      <c r="D14" s="28"/>
      <c r="E14" s="69">
        <f>IF(ISNUMBER(IS!$E$34),IS!$E34,0)</f>
        <v>5289000</v>
      </c>
      <c r="F14" s="69">
        <f>IF(ISNUMBER(IS!$D$34),IS!$D34,0)</f>
        <v>5189000</v>
      </c>
      <c r="G14" s="69">
        <f>IF(ISNUMBER(IS!$C$34),IS!$C34,0)</f>
        <v>5746000</v>
      </c>
      <c r="H14" s="70">
        <f>H15*H12</f>
        <v>6531741.0340211149</v>
      </c>
      <c r="I14" s="70">
        <f>I15*I12</f>
        <v>6662375.8547015376</v>
      </c>
      <c r="J14" s="70">
        <f>J15*J12</f>
        <v>6862247.1303425832</v>
      </c>
      <c r="K14" s="70">
        <f>K15*K12</f>
        <v>7450235.8503310177</v>
      </c>
      <c r="L14" s="71">
        <f>L15*L12</f>
        <v>8088606.1331321532</v>
      </c>
    </row>
    <row r="15" spans="2:14" customFormat="1">
      <c r="B15" s="14"/>
      <c r="C15" s="18" t="s">
        <v>73</v>
      </c>
      <c r="D15" s="28"/>
      <c r="E15" s="149">
        <f>E14/E12</f>
        <v>0.24302715618251161</v>
      </c>
      <c r="F15" s="149">
        <f>F14/F12</f>
        <v>0.19387983858914962</v>
      </c>
      <c r="G15" s="151">
        <f>G14/G12</f>
        <v>0.26402609934292148</v>
      </c>
      <c r="H15" s="149">
        <f>AVERAGE(E15:G15)</f>
        <v>0.23364436470486091</v>
      </c>
      <c r="I15" s="149">
        <f>H15</f>
        <v>0.23364436470486091</v>
      </c>
      <c r="J15" s="149">
        <f>I15</f>
        <v>0.23364436470486091</v>
      </c>
      <c r="K15" s="149">
        <f>J15</f>
        <v>0.23364436470486091</v>
      </c>
      <c r="L15" s="149">
        <f>K15</f>
        <v>0.23364436470486091</v>
      </c>
    </row>
    <row r="16" spans="2:14" customFormat="1">
      <c r="B16" s="14"/>
      <c r="C16" s="4"/>
      <c r="D16" s="28"/>
      <c r="E16" s="4"/>
      <c r="F16" s="4"/>
      <c r="G16" s="28"/>
      <c r="H16" s="4"/>
      <c r="I16" s="4"/>
      <c r="J16" s="4"/>
      <c r="K16" s="4"/>
      <c r="L16" s="5"/>
    </row>
    <row r="17" spans="2:12" customFormat="1">
      <c r="B17" s="16" t="s">
        <v>6</v>
      </c>
      <c r="C17" s="17"/>
      <c r="D17" s="29"/>
      <c r="E17" s="76">
        <f>E12-E14</f>
        <v>16474000</v>
      </c>
      <c r="F17" s="76">
        <f t="shared" ref="F17:L17" si="2">F12-F14</f>
        <v>21575000</v>
      </c>
      <c r="G17" s="104">
        <f t="shared" si="2"/>
        <v>16017000</v>
      </c>
      <c r="H17" s="76">
        <f t="shared" si="2"/>
        <v>21424169.831931062</v>
      </c>
      <c r="I17" s="76">
        <f t="shared" si="2"/>
        <v>21852653.228569686</v>
      </c>
      <c r="J17" s="76">
        <f t="shared" si="2"/>
        <v>22508232.825426776</v>
      </c>
      <c r="K17" s="76">
        <f t="shared" si="2"/>
        <v>24436841.159817033</v>
      </c>
      <c r="L17" s="77">
        <f t="shared" si="2"/>
        <v>26530701.477174066</v>
      </c>
    </row>
    <row r="18" spans="2:12">
      <c r="G18" s="2"/>
    </row>
    <row r="19" spans="2:12">
      <c r="B19" s="246" t="s">
        <v>21</v>
      </c>
      <c r="C19" s="247"/>
      <c r="D19" s="247"/>
      <c r="E19" s="247"/>
      <c r="F19" s="247"/>
      <c r="G19" s="247"/>
      <c r="H19" s="247"/>
      <c r="I19" s="247"/>
      <c r="J19" s="247"/>
      <c r="K19" s="247"/>
      <c r="L19" s="248"/>
    </row>
    <row r="20" spans="2:12">
      <c r="B20" s="24"/>
      <c r="C20" s="10"/>
      <c r="D20" s="10"/>
      <c r="E20" s="112" t="s">
        <v>16</v>
      </c>
      <c r="F20" s="59" t="s">
        <v>8</v>
      </c>
      <c r="G20" s="95" t="s">
        <v>9</v>
      </c>
      <c r="H20" s="59" t="s">
        <v>10</v>
      </c>
      <c r="I20" s="59" t="s">
        <v>11</v>
      </c>
      <c r="J20" s="59" t="s">
        <v>12</v>
      </c>
      <c r="K20" s="59" t="s">
        <v>13</v>
      </c>
      <c r="L20" s="60" t="s">
        <v>14</v>
      </c>
    </row>
    <row r="21" spans="2:12" ht="3.6" customHeight="1">
      <c r="B21" s="24"/>
      <c r="C21" s="10"/>
      <c r="D21" s="10"/>
      <c r="E21" s="113"/>
      <c r="F21" s="20"/>
      <c r="G21" s="56"/>
      <c r="H21" s="20"/>
      <c r="I21" s="20"/>
      <c r="J21" s="20"/>
      <c r="K21" s="20"/>
      <c r="L21" s="25"/>
    </row>
    <row r="22" spans="2:12">
      <c r="B22" s="26" t="s">
        <v>0</v>
      </c>
      <c r="C22" s="10"/>
      <c r="D22" s="10"/>
      <c r="E22" s="114">
        <f t="shared" ref="E22:L22" si="3">E4</f>
        <v>73723000</v>
      </c>
      <c r="F22" s="82">
        <f t="shared" si="3"/>
        <v>77849000</v>
      </c>
      <c r="G22" s="96">
        <f t="shared" si="3"/>
        <v>86833000</v>
      </c>
      <c r="H22" s="82">
        <f t="shared" si="3"/>
        <v>94273248.588104516</v>
      </c>
      <c r="I22" s="82">
        <f t="shared" si="3"/>
        <v>96158713.559866607</v>
      </c>
      <c r="J22" s="82">
        <f t="shared" si="3"/>
        <v>99043474.966662601</v>
      </c>
      <c r="K22" s="82">
        <f t="shared" si="3"/>
        <v>107529972.89696187</v>
      </c>
      <c r="L22" s="83">
        <f t="shared" si="3"/>
        <v>116743632.78462598</v>
      </c>
    </row>
    <row r="23" spans="2:12">
      <c r="B23" s="26" t="s">
        <v>24</v>
      </c>
      <c r="C23" s="10"/>
      <c r="D23" s="10"/>
      <c r="E23" s="115">
        <f>IS!$E$14</f>
        <v>17530000</v>
      </c>
      <c r="F23" s="105">
        <f>IS!$D$14</f>
        <v>20249000</v>
      </c>
      <c r="G23" s="106">
        <f>IS!$C$14</f>
        <v>26934000</v>
      </c>
      <c r="H23" s="107">
        <f>H24*H22</f>
        <v>25393118.048349712</v>
      </c>
      <c r="I23" s="107">
        <f>I24*I22</f>
        <v>25900980.409316704</v>
      </c>
      <c r="J23" s="107">
        <f>J24*J22</f>
        <v>26678009.821596205</v>
      </c>
      <c r="K23" s="107">
        <f>K24*K22</f>
        <v>28963903.720327903</v>
      </c>
      <c r="L23" s="108">
        <f>L24*L22</f>
        <v>31445663.463296186</v>
      </c>
    </row>
    <row r="24" spans="2:12">
      <c r="B24" s="26"/>
      <c r="C24" s="21" t="s">
        <v>17</v>
      </c>
      <c r="D24" s="21"/>
      <c r="E24" s="116">
        <f>E23/E22</f>
        <v>0.23778196763560897</v>
      </c>
      <c r="F24" s="84">
        <f>F23/F22</f>
        <v>0.26010610284011354</v>
      </c>
      <c r="G24" s="97">
        <f>G23/G22</f>
        <v>0.31018161298123986</v>
      </c>
      <c r="H24" s="84">
        <f>AVERAGE(E24:G24)</f>
        <v>0.26935656115232076</v>
      </c>
      <c r="I24" s="84">
        <f>H24</f>
        <v>0.26935656115232076</v>
      </c>
      <c r="J24" s="84">
        <f>I24</f>
        <v>0.26935656115232076</v>
      </c>
      <c r="K24" s="84">
        <f>J24</f>
        <v>0.26935656115232076</v>
      </c>
      <c r="L24" s="85">
        <f>K24</f>
        <v>0.26935656115232076</v>
      </c>
    </row>
    <row r="25" spans="2:12">
      <c r="B25" s="26"/>
      <c r="C25" s="10"/>
      <c r="D25" s="10"/>
      <c r="E25" s="117"/>
      <c r="F25" s="10"/>
      <c r="G25" s="98"/>
      <c r="H25" s="10"/>
      <c r="I25" s="10"/>
      <c r="J25" s="10"/>
      <c r="K25" s="10"/>
      <c r="L25" s="22"/>
    </row>
    <row r="26" spans="2:12">
      <c r="B26" s="26" t="s">
        <v>18</v>
      </c>
      <c r="C26" s="21"/>
      <c r="D26" s="10"/>
      <c r="E26" s="118">
        <f>BS!$E$18</f>
        <v>17815000</v>
      </c>
      <c r="F26" s="69">
        <f>BS!$D$18</f>
        <v>19118000</v>
      </c>
      <c r="G26" s="99">
        <f>BS!$C$18</f>
        <v>21485000</v>
      </c>
      <c r="H26" s="70">
        <f>H27*H22</f>
        <v>23086096.323834371</v>
      </c>
      <c r="I26" s="70">
        <f>I27*I22</f>
        <v>23547818.250311058</v>
      </c>
      <c r="J26" s="70">
        <f>J27*J22</f>
        <v>24254252.797820389</v>
      </c>
      <c r="K26" s="70">
        <f>K27*K22</f>
        <v>26332468.10921713</v>
      </c>
      <c r="L26" s="71">
        <f>L27*L22</f>
        <v>28588754.413628012</v>
      </c>
    </row>
    <row r="27" spans="2:12">
      <c r="B27" s="26"/>
      <c r="C27" s="21" t="s">
        <v>17</v>
      </c>
      <c r="D27" s="21"/>
      <c r="E27" s="119">
        <f>E26/E22</f>
        <v>0.24164778969927975</v>
      </c>
      <c r="F27" s="86">
        <f>F26/F22</f>
        <v>0.24557797788025537</v>
      </c>
      <c r="G27" s="100">
        <f>G26/G22</f>
        <v>0.24742897285594187</v>
      </c>
      <c r="H27" s="86">
        <f>AVERAGE(E27:G27)</f>
        <v>0.24488491347849231</v>
      </c>
      <c r="I27" s="86">
        <f>H27</f>
        <v>0.24488491347849231</v>
      </c>
      <c r="J27" s="86">
        <f>I27</f>
        <v>0.24488491347849231</v>
      </c>
      <c r="K27" s="86">
        <f>J27</f>
        <v>0.24488491347849231</v>
      </c>
      <c r="L27" s="87">
        <f>K27</f>
        <v>0.24488491347849231</v>
      </c>
    </row>
    <row r="28" spans="2:12">
      <c r="B28" s="26"/>
      <c r="C28" s="21"/>
      <c r="D28" s="10"/>
      <c r="E28" s="117"/>
      <c r="F28" s="10"/>
      <c r="G28" s="98"/>
      <c r="H28" s="10"/>
      <c r="I28" s="10"/>
      <c r="J28" s="10"/>
      <c r="K28" s="10"/>
      <c r="L28" s="22"/>
    </row>
    <row r="29" spans="2:12">
      <c r="B29" s="26" t="s">
        <v>19</v>
      </c>
      <c r="C29" s="10"/>
      <c r="D29" s="10"/>
      <c r="E29" s="120">
        <f>IF(ISNUMBER(BS!$E$19),BS!$E$19, 0)</f>
        <v>1137000</v>
      </c>
      <c r="F29" s="88">
        <f>IF(ISNUMBER(BS!$D$19),BS!$D$19, 0)</f>
        <v>1938000</v>
      </c>
      <c r="G29" s="101">
        <f>IF(ISNUMBER(BS!$C$19),BS!$C$19, 0)</f>
        <v>2660000</v>
      </c>
      <c r="H29" s="89">
        <f>H30*H22</f>
        <v>2229576.6915429942</v>
      </c>
      <c r="I29" s="89">
        <f>I30*I22</f>
        <v>2274168.2253738539</v>
      </c>
      <c r="J29" s="89">
        <f>J30*J22</f>
        <v>2342393.2721350696</v>
      </c>
      <c r="K29" s="89">
        <f>K30*K22</f>
        <v>2543100.2410960458</v>
      </c>
      <c r="L29" s="90">
        <f>L30*L22</f>
        <v>2761004.7011310915</v>
      </c>
    </row>
    <row r="30" spans="2:12">
      <c r="B30" s="26"/>
      <c r="C30" s="21" t="s">
        <v>17</v>
      </c>
      <c r="D30" s="21"/>
      <c r="E30" s="119">
        <f>E29/E22</f>
        <v>1.5422595390854957E-2</v>
      </c>
      <c r="F30" s="86">
        <f>F29/F22</f>
        <v>2.4894346748192013E-2</v>
      </c>
      <c r="G30" s="100">
        <f>G29/G22</f>
        <v>3.063351490792671E-2</v>
      </c>
      <c r="H30" s="86">
        <f>AVERAGE(E30:G30)</f>
        <v>2.3650152348991229E-2</v>
      </c>
      <c r="I30" s="86">
        <f>H30</f>
        <v>2.3650152348991229E-2</v>
      </c>
      <c r="J30" s="86">
        <f>I30</f>
        <v>2.3650152348991229E-2</v>
      </c>
      <c r="K30" s="86">
        <f>J30</f>
        <v>2.3650152348991229E-2</v>
      </c>
      <c r="L30" s="87">
        <f>K30</f>
        <v>2.3650152348991229E-2</v>
      </c>
    </row>
    <row r="31" spans="2:12">
      <c r="B31" s="3"/>
      <c r="C31" s="21"/>
      <c r="D31" s="10"/>
      <c r="E31" s="117"/>
      <c r="F31" s="10"/>
      <c r="G31" s="98"/>
      <c r="H31" s="10"/>
      <c r="I31" s="10"/>
      <c r="J31" s="10"/>
      <c r="K31" s="10"/>
      <c r="L31" s="22"/>
    </row>
    <row r="32" spans="2:12">
      <c r="B32" s="26" t="s">
        <v>20</v>
      </c>
      <c r="C32" s="10"/>
      <c r="D32" s="10"/>
      <c r="E32" s="120">
        <f>BS!$E$35</f>
        <v>9653000</v>
      </c>
      <c r="F32" s="88">
        <f>BS!$D$35</f>
        <v>10182000</v>
      </c>
      <c r="G32" s="101">
        <f>BS!$C$35</f>
        <v>13569000</v>
      </c>
      <c r="H32" s="89">
        <f>H33*H23</f>
        <v>13181421.142128371</v>
      </c>
      <c r="I32" s="89">
        <f>I33*I23</f>
        <v>13445049.564970937</v>
      </c>
      <c r="J32" s="89">
        <f>J33*J23</f>
        <v>13848401.051920064</v>
      </c>
      <c r="K32" s="89">
        <f>K33*K23</f>
        <v>15034995.392482447</v>
      </c>
      <c r="L32" s="90">
        <f>L33*L23</f>
        <v>16323262.563270919</v>
      </c>
    </row>
    <row r="33" spans="2:13">
      <c r="B33" s="3"/>
      <c r="C33" s="18" t="s">
        <v>25</v>
      </c>
      <c r="D33" s="18"/>
      <c r="E33" s="119">
        <f>E32/E23</f>
        <v>0.55065601825442101</v>
      </c>
      <c r="F33" s="86">
        <f>F32/F23</f>
        <v>0.50283964640229151</v>
      </c>
      <c r="G33" s="100">
        <f>G32/G23</f>
        <v>0.50378703497438182</v>
      </c>
      <c r="H33" s="86">
        <f>AVERAGE(E33:G33)</f>
        <v>0.51909423321036485</v>
      </c>
      <c r="I33" s="86">
        <f>H33</f>
        <v>0.51909423321036485</v>
      </c>
      <c r="J33" s="86">
        <f>I33</f>
        <v>0.51909423321036485</v>
      </c>
      <c r="K33" s="86">
        <f>J33</f>
        <v>0.51909423321036485</v>
      </c>
      <c r="L33" s="87">
        <f>K33</f>
        <v>0.51909423321036485</v>
      </c>
    </row>
    <row r="34" spans="2:13">
      <c r="B34" s="3"/>
      <c r="E34" s="121"/>
      <c r="F34" s="7"/>
      <c r="G34" s="57"/>
      <c r="H34" s="7"/>
      <c r="I34" s="7"/>
      <c r="J34" s="7"/>
      <c r="K34" s="7"/>
      <c r="L34" s="8"/>
    </row>
    <row r="35" spans="2:13">
      <c r="B35" s="26" t="s">
        <v>23</v>
      </c>
      <c r="E35" s="122">
        <f t="shared" ref="E35:L35" si="4">E26+E29-E32</f>
        <v>9299000</v>
      </c>
      <c r="F35" s="91">
        <f t="shared" si="4"/>
        <v>10874000</v>
      </c>
      <c r="G35" s="102">
        <f t="shared" si="4"/>
        <v>10576000</v>
      </c>
      <c r="H35" s="91">
        <f t="shared" si="4"/>
        <v>12134251.873248994</v>
      </c>
      <c r="I35" s="91">
        <f t="shared" si="4"/>
        <v>12376936.910713974</v>
      </c>
      <c r="J35" s="91">
        <f t="shared" si="4"/>
        <v>12748245.018035397</v>
      </c>
      <c r="K35" s="91">
        <f t="shared" si="4"/>
        <v>13840572.957830729</v>
      </c>
      <c r="L35" s="92">
        <f t="shared" si="4"/>
        <v>15026496.551488183</v>
      </c>
    </row>
    <row r="36" spans="2:13">
      <c r="B36" s="3"/>
      <c r="E36" s="121"/>
      <c r="F36" s="7"/>
      <c r="G36" s="57"/>
      <c r="H36" s="7"/>
      <c r="I36" s="7"/>
      <c r="J36" s="7"/>
      <c r="K36" s="7"/>
      <c r="L36" s="8"/>
    </row>
    <row r="37" spans="2:13">
      <c r="B37" s="15" t="s">
        <v>22</v>
      </c>
      <c r="C37" s="27"/>
      <c r="D37" s="27"/>
      <c r="E37" s="123"/>
      <c r="F37" s="93">
        <f t="shared" ref="F37:L37" si="5">F35-E35</f>
        <v>1575000</v>
      </c>
      <c r="G37" s="103">
        <f t="shared" si="5"/>
        <v>-298000</v>
      </c>
      <c r="H37" s="93">
        <f t="shared" si="5"/>
        <v>1558251.8732489944</v>
      </c>
      <c r="I37" s="93">
        <f t="shared" si="5"/>
        <v>242685.03746498004</v>
      </c>
      <c r="J37" s="93">
        <f t="shared" si="5"/>
        <v>371308.10732142255</v>
      </c>
      <c r="K37" s="93">
        <f t="shared" si="5"/>
        <v>1092327.939795332</v>
      </c>
      <c r="L37" s="94">
        <f t="shared" si="5"/>
        <v>1185923.5936574545</v>
      </c>
    </row>
    <row r="39" spans="2:13">
      <c r="B39" s="246" t="s">
        <v>26</v>
      </c>
      <c r="C39" s="247"/>
      <c r="D39" s="247"/>
      <c r="E39" s="247"/>
      <c r="F39" s="247"/>
      <c r="G39" s="247"/>
      <c r="H39" s="247"/>
      <c r="I39" s="247"/>
      <c r="J39" s="247"/>
      <c r="K39" s="247"/>
      <c r="L39" s="248"/>
    </row>
    <row r="40" spans="2:13">
      <c r="B40" s="3"/>
      <c r="D40" s="13"/>
      <c r="E40" s="59" t="s">
        <v>16</v>
      </c>
      <c r="F40" s="59" t="s">
        <v>8</v>
      </c>
      <c r="G40" s="95" t="s">
        <v>9</v>
      </c>
      <c r="H40" s="59" t="s">
        <v>10</v>
      </c>
      <c r="I40" s="59" t="s">
        <v>11</v>
      </c>
      <c r="J40" s="59" t="s">
        <v>12</v>
      </c>
      <c r="K40" s="59" t="s">
        <v>13</v>
      </c>
      <c r="L40" s="60" t="s">
        <v>14</v>
      </c>
    </row>
    <row r="41" spans="2:13">
      <c r="B41" s="14" t="s">
        <v>0</v>
      </c>
      <c r="D41" s="13"/>
      <c r="E41" s="52">
        <f t="shared" ref="E41:L41" si="6">E4</f>
        <v>73723000</v>
      </c>
      <c r="F41" s="52">
        <f t="shared" si="6"/>
        <v>77849000</v>
      </c>
      <c r="G41" s="110">
        <f t="shared" si="6"/>
        <v>86833000</v>
      </c>
      <c r="H41" s="52">
        <f t="shared" si="6"/>
        <v>94273248.588104516</v>
      </c>
      <c r="I41" s="52">
        <f t="shared" si="6"/>
        <v>96158713.559866607</v>
      </c>
      <c r="J41" s="52">
        <f t="shared" si="6"/>
        <v>99043474.966662601</v>
      </c>
      <c r="K41" s="52">
        <f t="shared" si="6"/>
        <v>107529972.89696187</v>
      </c>
      <c r="L41" s="53">
        <f t="shared" si="6"/>
        <v>116743632.78462598</v>
      </c>
    </row>
    <row r="42" spans="2:13">
      <c r="B42" s="3"/>
      <c r="D42" s="13"/>
      <c r="G42" s="13"/>
      <c r="L42" s="5"/>
    </row>
    <row r="43" spans="2:13">
      <c r="B43" s="14" t="s">
        <v>29</v>
      </c>
      <c r="D43" s="13"/>
      <c r="E43" s="109">
        <f>CF!$E$26</f>
        <v>-2305000</v>
      </c>
      <c r="F43" s="109">
        <f>CF!$D$26</f>
        <v>-4257000</v>
      </c>
      <c r="G43" s="111">
        <f>CF!$C$26</f>
        <v>-5485000</v>
      </c>
      <c r="H43" s="52">
        <f>H44*H41</f>
        <v>-4685873.695412091</v>
      </c>
      <c r="I43" s="52">
        <f>I44*I41</f>
        <v>-4779591.1693203328</v>
      </c>
      <c r="J43" s="52">
        <f>J44*J41</f>
        <v>-4922978.9043999426</v>
      </c>
      <c r="K43" s="52">
        <f>K44*K41</f>
        <v>-5344802.253158249</v>
      </c>
      <c r="L43" s="53">
        <f>L44*L41</f>
        <v>-5802769.3557316773</v>
      </c>
    </row>
    <row r="44" spans="2:13">
      <c r="B44" s="14"/>
      <c r="C44" s="18" t="s">
        <v>17</v>
      </c>
      <c r="D44" s="13"/>
      <c r="E44" s="54">
        <f>E43/E41</f>
        <v>-3.1265683707933749E-2</v>
      </c>
      <c r="F44" s="54">
        <f>F43/F41</f>
        <v>-5.4682783336972858E-2</v>
      </c>
      <c r="G44" s="152">
        <f>G43/G41</f>
        <v>-6.3167229048863904E-2</v>
      </c>
      <c r="H44" s="54">
        <f>AVERAGE(E44:G44)</f>
        <v>-4.9705232031256839E-2</v>
      </c>
      <c r="I44" s="54">
        <f>H44</f>
        <v>-4.9705232031256839E-2</v>
      </c>
      <c r="J44" s="54">
        <f>I44</f>
        <v>-4.9705232031256839E-2</v>
      </c>
      <c r="K44" s="54">
        <f>J44</f>
        <v>-4.9705232031256839E-2</v>
      </c>
      <c r="L44" s="55">
        <f>K44</f>
        <v>-4.9705232031256839E-2</v>
      </c>
    </row>
    <row r="45" spans="2:13">
      <c r="B45" s="3"/>
      <c r="D45" s="13"/>
      <c r="G45" s="13"/>
      <c r="L45" s="5"/>
    </row>
    <row r="46" spans="2:13">
      <c r="B46" s="14" t="s">
        <v>28</v>
      </c>
      <c r="D46" s="13"/>
      <c r="E46" s="109">
        <f>CF!$E$16</f>
        <v>2967000</v>
      </c>
      <c r="F46" s="109">
        <f>CF!$D$16</f>
        <v>3755000</v>
      </c>
      <c r="G46" s="111">
        <f>CF!$C$16</f>
        <v>5212000</v>
      </c>
      <c r="H46" s="52">
        <f>H47*H43</f>
        <v>4872537.3630475774</v>
      </c>
      <c r="I46" s="52">
        <f>I47*I43</f>
        <v>4969988.1103085289</v>
      </c>
      <c r="J46" s="52">
        <f>J47*J43</f>
        <v>5119087.7536177849</v>
      </c>
      <c r="K46" s="52">
        <f>K47*K43</f>
        <v>5557714.6055201478</v>
      </c>
      <c r="L46" s="53">
        <f>L47*L43</f>
        <v>6033925.0122411996</v>
      </c>
    </row>
    <row r="47" spans="2:13">
      <c r="B47" s="6"/>
      <c r="C47" s="30" t="s">
        <v>30</v>
      </c>
      <c r="D47" s="57"/>
      <c r="E47" s="153">
        <f>E46/E43</f>
        <v>-1.2872017353579175</v>
      </c>
      <c r="F47" s="153">
        <f>F46/F43</f>
        <v>-0.8820765797509984</v>
      </c>
      <c r="G47" s="154">
        <f>G46/G43</f>
        <v>-0.95022789425706478</v>
      </c>
      <c r="H47" s="153">
        <f>AVERAGE(E47:G47)</f>
        <v>-1.0398354031219936</v>
      </c>
      <c r="I47" s="153">
        <f>H47</f>
        <v>-1.0398354031219936</v>
      </c>
      <c r="J47" s="153">
        <f>I47</f>
        <v>-1.0398354031219936</v>
      </c>
      <c r="K47" s="153">
        <f>J47</f>
        <v>-1.0398354031219936</v>
      </c>
      <c r="L47" s="155">
        <f>K47</f>
        <v>-1.0398354031219936</v>
      </c>
    </row>
    <row r="48" spans="2:13">
      <c r="M48" s="63"/>
    </row>
    <row r="50" spans="1:12">
      <c r="B50" s="252" t="s">
        <v>32</v>
      </c>
      <c r="C50" s="252"/>
      <c r="D50" s="252"/>
      <c r="E50" s="252"/>
      <c r="F50" s="252"/>
      <c r="G50" s="252"/>
      <c r="H50" s="252"/>
      <c r="I50" s="252"/>
      <c r="J50" s="252"/>
      <c r="K50" s="252"/>
      <c r="L50" s="252"/>
    </row>
    <row r="51" spans="1:12">
      <c r="B51" s="10" t="s">
        <v>33</v>
      </c>
      <c r="F51" s="124" t="str">
        <f>Stats!$F$23</f>
        <v>8.24B</v>
      </c>
    </row>
    <row r="52" spans="1:12">
      <c r="A52" s="126"/>
    </row>
    <row r="53" spans="1:12">
      <c r="B53" s="246" t="s">
        <v>34</v>
      </c>
      <c r="C53" s="247"/>
      <c r="D53" s="247"/>
      <c r="E53" s="247"/>
      <c r="F53" s="248"/>
      <c r="H53" s="246" t="s">
        <v>35</v>
      </c>
      <c r="I53" s="247"/>
      <c r="J53" s="247"/>
      <c r="K53" s="247"/>
      <c r="L53" s="248"/>
    </row>
    <row r="54" spans="1:12">
      <c r="B54" s="24" t="s">
        <v>36</v>
      </c>
      <c r="F54" s="44">
        <f>Stats!$F$13</f>
        <v>0.73</v>
      </c>
      <c r="H54" s="24"/>
      <c r="I54" s="10"/>
      <c r="J54" s="10"/>
      <c r="K54" s="10"/>
      <c r="L54" s="22"/>
    </row>
    <row r="55" spans="1:12">
      <c r="B55" s="3" t="s">
        <v>37</v>
      </c>
      <c r="F55" s="125">
        <v>0.03</v>
      </c>
      <c r="H55" s="3" t="s">
        <v>38</v>
      </c>
      <c r="L55" s="125">
        <v>0.09</v>
      </c>
    </row>
    <row r="56" spans="1:12">
      <c r="B56" s="24" t="s">
        <v>39</v>
      </c>
      <c r="F56" s="125">
        <v>7.0000000000000007E-2</v>
      </c>
      <c r="H56" s="3"/>
      <c r="L56" s="5"/>
    </row>
    <row r="57" spans="1:12">
      <c r="B57" s="3"/>
      <c r="F57" s="5"/>
      <c r="H57" s="3"/>
      <c r="L57" s="5"/>
    </row>
    <row r="58" spans="1:12">
      <c r="B58" s="33" t="s">
        <v>40</v>
      </c>
      <c r="C58" s="7"/>
      <c r="D58" s="7"/>
      <c r="E58" s="7"/>
      <c r="F58" s="47">
        <f>F55+F54*(F56-F55)</f>
        <v>5.9200000000000003E-2</v>
      </c>
      <c r="H58" s="6" t="s">
        <v>35</v>
      </c>
      <c r="I58" s="7"/>
      <c r="J58" s="7"/>
      <c r="K58" s="7"/>
      <c r="L58" s="47">
        <f>L55</f>
        <v>0.09</v>
      </c>
    </row>
    <row r="60" spans="1:12">
      <c r="B60" s="246" t="s">
        <v>41</v>
      </c>
      <c r="C60" s="247"/>
      <c r="D60" s="247"/>
      <c r="E60" s="247"/>
      <c r="F60" s="248"/>
      <c r="H60" s="246" t="s">
        <v>42</v>
      </c>
      <c r="I60" s="247"/>
      <c r="J60" s="247"/>
      <c r="K60" s="247"/>
      <c r="L60" s="248"/>
    </row>
    <row r="61" spans="1:12">
      <c r="B61" s="3" t="s">
        <v>43</v>
      </c>
      <c r="F61" s="46" t="str">
        <f>Stats!$B$13</f>
        <v>393.60B</v>
      </c>
      <c r="H61" s="3" t="s">
        <v>44</v>
      </c>
      <c r="L61" s="48">
        <f>L58</f>
        <v>0.09</v>
      </c>
    </row>
    <row r="62" spans="1:12">
      <c r="B62" s="3"/>
      <c r="C62" s="4" t="s">
        <v>45</v>
      </c>
      <c r="F62" s="48">
        <v>0.94270933128951906</v>
      </c>
      <c r="H62" s="3" t="s">
        <v>46</v>
      </c>
      <c r="L62" s="48">
        <f>F64</f>
        <v>5.7290668710480934E-2</v>
      </c>
    </row>
    <row r="63" spans="1:12">
      <c r="B63" s="3" t="s">
        <v>47</v>
      </c>
      <c r="F63" s="46" t="str">
        <f>Stats!$B$44</f>
        <v>23.92B</v>
      </c>
      <c r="H63" s="24" t="s">
        <v>48</v>
      </c>
      <c r="L63" s="48">
        <f>F58</f>
        <v>5.9200000000000003E-2</v>
      </c>
    </row>
    <row r="64" spans="1:12">
      <c r="B64" s="3"/>
      <c r="C64" s="4" t="s">
        <v>49</v>
      </c>
      <c r="F64" s="48">
        <v>5.7290668710480934E-2</v>
      </c>
      <c r="H64" s="24" t="s">
        <v>50</v>
      </c>
      <c r="L64" s="48">
        <f>F62</f>
        <v>0.94270933128951906</v>
      </c>
    </row>
    <row r="65" spans="2:12">
      <c r="B65" s="6" t="s">
        <v>51</v>
      </c>
      <c r="C65" s="7"/>
      <c r="D65" s="7"/>
      <c r="E65" s="7"/>
      <c r="F65" s="127">
        <v>417520000</v>
      </c>
      <c r="H65" s="33" t="s">
        <v>32</v>
      </c>
      <c r="I65" s="7"/>
      <c r="J65" s="7"/>
      <c r="K65" s="7"/>
      <c r="L65" s="47">
        <f>(L61*L62)+(L63*L64)</f>
        <v>6.0964552596282813E-2</v>
      </c>
    </row>
  </sheetData>
  <mergeCells count="8">
    <mergeCell ref="B60:F60"/>
    <mergeCell ref="H60:L60"/>
    <mergeCell ref="B2:L2"/>
    <mergeCell ref="B19:L19"/>
    <mergeCell ref="B39:L39"/>
    <mergeCell ref="B50:L50"/>
    <mergeCell ref="B53:F53"/>
    <mergeCell ref="H53:L53"/>
  </mergeCells>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59"/>
  <sheetViews>
    <sheetView workbookViewId="0">
      <selection sqref="A1:XFD1048576"/>
    </sheetView>
  </sheetViews>
  <sheetFormatPr defaultColWidth="8.6640625" defaultRowHeight="14.4"/>
  <cols>
    <col min="1" max="1" width="80.88671875" customWidth="1"/>
    <col min="2" max="2" width="28.109375" customWidth="1"/>
    <col min="3" max="5" width="9.88671875" customWidth="1"/>
    <col min="6" max="6" width="8.6640625" customWidth="1"/>
    <col min="7" max="7" width="18.88671875" customWidth="1"/>
    <col min="8" max="8" width="18.88671875" bestFit="1" customWidth="1"/>
    <col min="10" max="10" width="80.5546875" bestFit="1" customWidth="1"/>
    <col min="11" max="11" width="27.5546875" bestFit="1" customWidth="1"/>
    <col min="12" max="14" width="8.44140625" customWidth="1"/>
    <col min="16" max="16" width="15.44140625" bestFit="1" customWidth="1"/>
    <col min="19" max="19" width="80.5546875" bestFit="1" customWidth="1"/>
    <col min="20" max="20" width="15.44140625" bestFit="1" customWidth="1"/>
    <col min="23" max="23" width="80.5546875" bestFit="1" customWidth="1"/>
    <col min="24" max="24" width="27.5546875" bestFit="1" customWidth="1"/>
    <col min="25" max="27" width="8.44140625" customWidth="1"/>
    <col min="29" max="29" width="15.44140625" bestFit="1" customWidth="1"/>
    <col min="32" max="32" width="80.5546875" customWidth="1"/>
    <col min="33" max="33" width="27.5546875" customWidth="1"/>
    <col min="34" max="34" width="8.33203125" customWidth="1"/>
    <col min="35" max="35" width="8.5546875" customWidth="1"/>
    <col min="36" max="37" width="8.44140625" customWidth="1"/>
    <col min="39" max="39" width="15.44140625" customWidth="1"/>
    <col min="42" max="42" width="80.6640625" bestFit="1" customWidth="1"/>
    <col min="43" max="43" width="28.33203125" bestFit="1" customWidth="1"/>
    <col min="44" max="46" width="9.33203125" bestFit="1" customWidth="1"/>
    <col min="48" max="48" width="18.6640625" bestFit="1" customWidth="1"/>
    <col min="51" max="51" width="80.6640625" bestFit="1" customWidth="1"/>
    <col min="52" max="52" width="28.33203125" bestFit="1" customWidth="1"/>
    <col min="53" max="55" width="9.33203125" bestFit="1" customWidth="1"/>
    <col min="57" max="57" width="18.6640625" bestFit="1" customWidth="1"/>
    <col min="60" max="60" width="80.6640625" bestFit="1" customWidth="1"/>
    <col min="61" max="61" width="28.33203125" bestFit="1" customWidth="1"/>
    <col min="62" max="64" width="9.33203125" bestFit="1" customWidth="1"/>
    <col min="66" max="66" width="18.6640625" bestFit="1" customWidth="1"/>
    <col min="68" max="68" width="3.5546875" customWidth="1"/>
    <col min="69" max="69" width="3" customWidth="1"/>
  </cols>
  <sheetData>
    <row r="1" spans="1:9">
      <c r="A1" s="258"/>
      <c r="B1" s="34" t="s">
        <v>78</v>
      </c>
      <c r="C1" s="187"/>
      <c r="D1" s="187"/>
      <c r="E1" s="187"/>
      <c r="F1" s="187"/>
      <c r="G1" s="187"/>
      <c r="H1" s="187"/>
      <c r="I1" s="187"/>
    </row>
    <row r="2" spans="1:9">
      <c r="A2" s="258"/>
      <c r="B2" s="34" t="s">
        <v>79</v>
      </c>
      <c r="C2" s="187"/>
      <c r="D2" s="187"/>
      <c r="E2" s="187"/>
      <c r="F2" s="187"/>
      <c r="G2" s="187"/>
      <c r="H2" s="187"/>
      <c r="I2" s="187"/>
    </row>
    <row r="3" spans="1:9">
      <c r="A3" s="187"/>
      <c r="B3" s="187"/>
      <c r="C3" s="187"/>
      <c r="D3" s="187"/>
      <c r="E3" s="187"/>
      <c r="F3" s="187"/>
      <c r="G3" s="187"/>
      <c r="H3" s="187"/>
      <c r="I3" s="187"/>
    </row>
    <row r="4" spans="1:9">
      <c r="A4" s="186"/>
      <c r="B4" s="187"/>
      <c r="C4" s="187"/>
      <c r="D4" s="187"/>
      <c r="E4" s="187"/>
      <c r="F4" s="187"/>
      <c r="G4" s="187"/>
      <c r="H4" s="187"/>
      <c r="I4" s="187"/>
    </row>
    <row r="5" spans="1:9">
      <c r="A5" s="187"/>
      <c r="B5" s="187"/>
      <c r="C5" s="187"/>
      <c r="D5" s="187"/>
      <c r="E5" s="187"/>
      <c r="F5" s="187"/>
      <c r="G5" s="187"/>
      <c r="H5" s="187"/>
      <c r="I5" s="187"/>
    </row>
    <row r="6" spans="1:9">
      <c r="A6" s="186"/>
      <c r="B6" s="187"/>
      <c r="C6" s="187"/>
      <c r="D6" s="187"/>
      <c r="E6" s="187"/>
      <c r="F6" s="187"/>
      <c r="G6" s="187"/>
      <c r="H6" s="187"/>
      <c r="I6" s="187"/>
    </row>
    <row r="7" spans="1:9">
      <c r="A7" s="187"/>
      <c r="B7" s="187"/>
      <c r="C7" s="187"/>
      <c r="D7" s="187"/>
      <c r="E7" s="187"/>
      <c r="F7" s="187"/>
      <c r="G7" s="187"/>
      <c r="H7" s="187"/>
      <c r="I7" s="187"/>
    </row>
    <row r="8" spans="1:9">
      <c r="A8" s="35"/>
      <c r="B8" s="35"/>
      <c r="C8" s="188"/>
      <c r="D8" s="188"/>
      <c r="E8" s="187"/>
      <c r="F8" s="187"/>
      <c r="G8" s="187"/>
      <c r="H8" s="187"/>
      <c r="I8" s="187"/>
    </row>
    <row r="9" spans="1:9">
      <c r="A9" s="187"/>
      <c r="B9" s="187"/>
      <c r="C9" s="187"/>
      <c r="D9" s="187"/>
      <c r="E9" s="187"/>
      <c r="F9" s="187"/>
      <c r="G9" s="187"/>
      <c r="H9" s="187"/>
      <c r="I9" s="187"/>
    </row>
    <row r="10" spans="1:9" ht="16.2" thickBot="1">
      <c r="A10" s="260" t="s">
        <v>15</v>
      </c>
      <c r="B10" s="260"/>
      <c r="C10" s="260"/>
      <c r="D10" s="260"/>
      <c r="E10" s="260"/>
      <c r="F10" s="260"/>
      <c r="G10" s="36" t="s">
        <v>110</v>
      </c>
      <c r="H10" s="187"/>
      <c r="I10" s="187"/>
    </row>
    <row r="11" spans="1:9" ht="15" thickBot="1">
      <c r="A11" s="261" t="s">
        <v>111</v>
      </c>
      <c r="B11" s="261"/>
      <c r="C11" s="261"/>
      <c r="D11" s="261"/>
      <c r="E11" s="261"/>
      <c r="F11" s="261"/>
      <c r="G11" s="38" t="s">
        <v>112</v>
      </c>
      <c r="H11" s="187"/>
      <c r="I11" s="187"/>
    </row>
    <row r="12" spans="1:9">
      <c r="A12" s="259" t="s">
        <v>113</v>
      </c>
      <c r="B12" s="259"/>
      <c r="C12" s="172">
        <v>41820</v>
      </c>
      <c r="D12" s="172">
        <v>41455</v>
      </c>
      <c r="E12" s="172">
        <v>41090</v>
      </c>
      <c r="F12" s="187"/>
      <c r="G12" s="187"/>
      <c r="H12" s="187"/>
      <c r="I12" s="187"/>
    </row>
    <row r="13" spans="1:9" ht="13.8" customHeight="1">
      <c r="A13" s="254" t="s">
        <v>114</v>
      </c>
      <c r="B13" s="254"/>
      <c r="C13" s="41">
        <v>86833000</v>
      </c>
      <c r="D13" s="41">
        <v>77849000</v>
      </c>
      <c r="E13" s="41">
        <v>73723000</v>
      </c>
      <c r="F13" s="187"/>
      <c r="G13" s="187"/>
      <c r="H13" s="187"/>
      <c r="I13" s="187"/>
    </row>
    <row r="14" spans="1:9" ht="15" thickBot="1">
      <c r="A14" s="255" t="s">
        <v>115</v>
      </c>
      <c r="B14" s="255"/>
      <c r="C14" s="39">
        <v>26934000</v>
      </c>
      <c r="D14" s="39">
        <v>20249000</v>
      </c>
      <c r="E14" s="39">
        <v>17530000</v>
      </c>
      <c r="F14" s="187"/>
      <c r="G14" s="187"/>
      <c r="H14" s="187"/>
      <c r="I14" s="187"/>
    </row>
    <row r="15" spans="1:9" ht="15" thickTop="1">
      <c r="A15" s="257"/>
      <c r="B15" s="257"/>
      <c r="C15" s="257"/>
      <c r="D15" s="257"/>
      <c r="E15" s="257"/>
      <c r="F15" s="187"/>
      <c r="G15" s="187"/>
      <c r="H15" s="187"/>
      <c r="I15" s="187"/>
    </row>
    <row r="16" spans="1:9" ht="13.8" customHeight="1">
      <c r="A16" s="254" t="s">
        <v>116</v>
      </c>
      <c r="B16" s="254"/>
      <c r="C16" s="41">
        <v>59899000</v>
      </c>
      <c r="D16" s="41">
        <v>57600000</v>
      </c>
      <c r="E16" s="41">
        <v>56193000</v>
      </c>
      <c r="F16" s="187"/>
      <c r="G16" s="187"/>
      <c r="H16" s="187"/>
      <c r="I16" s="187"/>
    </row>
    <row r="17" spans="1:9">
      <c r="A17" s="258"/>
      <c r="B17" s="258"/>
      <c r="C17" s="258"/>
      <c r="D17" s="258"/>
      <c r="E17" s="258"/>
      <c r="F17" s="187"/>
      <c r="G17" s="187"/>
      <c r="H17" s="187"/>
      <c r="I17" s="187"/>
    </row>
    <row r="18" spans="1:9" ht="13.8" customHeight="1">
      <c r="A18" s="186"/>
      <c r="B18" s="253" t="s">
        <v>117</v>
      </c>
      <c r="C18" s="253"/>
      <c r="D18" s="253"/>
      <c r="E18" s="253"/>
      <c r="F18" s="187"/>
      <c r="G18" s="187"/>
      <c r="H18" s="187"/>
      <c r="I18" s="187"/>
    </row>
    <row r="19" spans="1:9">
      <c r="A19" s="186"/>
      <c r="B19" s="185" t="s">
        <v>118</v>
      </c>
      <c r="C19" s="39">
        <v>11381000</v>
      </c>
      <c r="D19" s="39">
        <v>10411000</v>
      </c>
      <c r="E19" s="39">
        <v>9811000</v>
      </c>
      <c r="F19" s="187"/>
      <c r="G19" s="187"/>
      <c r="H19" s="187"/>
      <c r="I19" s="187"/>
    </row>
    <row r="20" spans="1:9">
      <c r="A20" s="186"/>
      <c r="B20" s="185" t="s">
        <v>120</v>
      </c>
      <c r="C20" s="39">
        <v>20632000</v>
      </c>
      <c r="D20" s="39">
        <v>20425000</v>
      </c>
      <c r="E20" s="39">
        <v>18426000</v>
      </c>
      <c r="F20" s="187"/>
      <c r="G20" s="187"/>
      <c r="H20" s="187"/>
      <c r="I20" s="187"/>
    </row>
    <row r="21" spans="1:9">
      <c r="A21" s="186"/>
      <c r="B21" s="185" t="s">
        <v>121</v>
      </c>
      <c r="C21" s="39">
        <v>127000</v>
      </c>
      <c r="D21" s="40" t="s">
        <v>119</v>
      </c>
      <c r="E21" s="39">
        <v>6193000</v>
      </c>
      <c r="F21" s="187"/>
      <c r="G21" s="187"/>
      <c r="H21" s="187"/>
      <c r="I21" s="187"/>
    </row>
    <row r="22" spans="1:9">
      <c r="A22" s="186"/>
      <c r="B22" s="185" t="s">
        <v>122</v>
      </c>
      <c r="C22" s="40" t="s">
        <v>119</v>
      </c>
      <c r="D22" s="40" t="s">
        <v>119</v>
      </c>
      <c r="E22" s="40" t="s">
        <v>119</v>
      </c>
      <c r="F22" s="187"/>
      <c r="G22" s="187"/>
      <c r="H22" s="187"/>
      <c r="I22" s="187"/>
    </row>
    <row r="23" spans="1:9">
      <c r="A23" s="186"/>
      <c r="B23" s="258"/>
      <c r="C23" s="258"/>
      <c r="D23" s="258"/>
      <c r="E23" s="258"/>
      <c r="F23" s="258"/>
      <c r="G23" s="187"/>
      <c r="H23" s="187"/>
      <c r="I23" s="187"/>
    </row>
    <row r="24" spans="1:9">
      <c r="A24" s="186"/>
      <c r="B24" s="185" t="s">
        <v>123</v>
      </c>
      <c r="C24" s="40" t="s">
        <v>119</v>
      </c>
      <c r="D24" s="40" t="s">
        <v>119</v>
      </c>
      <c r="E24" s="40" t="s">
        <v>119</v>
      </c>
      <c r="F24" s="187"/>
      <c r="G24" s="187"/>
      <c r="H24" s="187"/>
      <c r="I24" s="187"/>
    </row>
    <row r="25" spans="1:9" ht="15" thickBot="1">
      <c r="A25" s="256"/>
      <c r="B25" s="256"/>
      <c r="C25" s="256"/>
      <c r="D25" s="256"/>
      <c r="E25" s="256"/>
      <c r="F25" s="187"/>
      <c r="G25" s="187"/>
      <c r="H25" s="187"/>
      <c r="I25" s="187"/>
    </row>
    <row r="26" spans="1:9" ht="15" thickTop="1">
      <c r="A26" s="257"/>
      <c r="B26" s="257"/>
      <c r="C26" s="257"/>
      <c r="D26" s="257"/>
      <c r="E26" s="257"/>
      <c r="F26" s="187"/>
      <c r="G26" s="187"/>
      <c r="H26" s="187"/>
      <c r="I26" s="187"/>
    </row>
    <row r="27" spans="1:9" ht="13.8" customHeight="1">
      <c r="A27" s="254" t="s">
        <v>124</v>
      </c>
      <c r="B27" s="254"/>
      <c r="C27" s="41">
        <v>27759000</v>
      </c>
      <c r="D27" s="41">
        <v>26764000</v>
      </c>
      <c r="E27" s="41">
        <v>21763000</v>
      </c>
      <c r="F27" s="187"/>
      <c r="G27" s="187"/>
      <c r="H27" s="187"/>
      <c r="I27" s="187"/>
    </row>
    <row r="28" spans="1:9">
      <c r="A28" s="258"/>
      <c r="B28" s="258"/>
      <c r="C28" s="258"/>
      <c r="D28" s="258"/>
      <c r="E28" s="258"/>
      <c r="F28" s="187"/>
      <c r="G28" s="187"/>
      <c r="H28" s="187"/>
      <c r="I28" s="187"/>
    </row>
    <row r="29" spans="1:9" ht="13.8" customHeight="1">
      <c r="A29" s="186"/>
      <c r="B29" s="253" t="s">
        <v>125</v>
      </c>
      <c r="C29" s="253"/>
      <c r="D29" s="253"/>
      <c r="E29" s="253"/>
      <c r="F29" s="187"/>
      <c r="G29" s="187"/>
      <c r="H29" s="187"/>
      <c r="I29" s="187"/>
    </row>
    <row r="30" spans="1:9">
      <c r="A30" s="186"/>
      <c r="B30" s="185" t="s">
        <v>126</v>
      </c>
      <c r="C30" s="39">
        <v>61000</v>
      </c>
      <c r="D30" s="39">
        <v>288000</v>
      </c>
      <c r="E30" s="39">
        <v>504000</v>
      </c>
      <c r="F30" s="187"/>
      <c r="G30" s="187"/>
      <c r="H30" s="187"/>
      <c r="I30" s="187"/>
    </row>
    <row r="31" spans="1:9">
      <c r="A31" s="186"/>
      <c r="B31" s="185" t="s">
        <v>127</v>
      </c>
      <c r="C31" s="39">
        <v>27820000</v>
      </c>
      <c r="D31" s="39">
        <v>27052000</v>
      </c>
      <c r="E31" s="39">
        <v>22267000</v>
      </c>
      <c r="F31" s="187"/>
      <c r="G31" s="187"/>
      <c r="H31" s="187"/>
      <c r="I31" s="187"/>
    </row>
    <row r="32" spans="1:9">
      <c r="A32" s="186"/>
      <c r="B32" s="185" t="s">
        <v>4</v>
      </c>
      <c r="C32" s="40" t="s">
        <v>119</v>
      </c>
      <c r="D32" s="40" t="s">
        <v>119</v>
      </c>
      <c r="E32" s="40" t="s">
        <v>119</v>
      </c>
      <c r="F32" s="187"/>
      <c r="G32" s="187"/>
      <c r="H32" s="187"/>
      <c r="I32" s="187"/>
    </row>
    <row r="33" spans="1:9">
      <c r="A33" s="186"/>
      <c r="B33" s="185" t="s">
        <v>3</v>
      </c>
      <c r="C33" s="39">
        <v>27820000</v>
      </c>
      <c r="D33" s="39">
        <v>27052000</v>
      </c>
      <c r="E33" s="39">
        <v>22267000</v>
      </c>
      <c r="F33" s="187"/>
      <c r="G33" s="187"/>
      <c r="H33" s="187"/>
      <c r="I33" s="187"/>
    </row>
    <row r="34" spans="1:9">
      <c r="A34" s="186"/>
      <c r="B34" s="185" t="s">
        <v>5</v>
      </c>
      <c r="C34" s="39">
        <v>5746000</v>
      </c>
      <c r="D34" s="39">
        <v>5189000</v>
      </c>
      <c r="E34" s="39">
        <v>5289000</v>
      </c>
      <c r="F34" s="187"/>
      <c r="G34" s="187"/>
      <c r="H34" s="187"/>
      <c r="I34" s="187"/>
    </row>
    <row r="35" spans="1:9">
      <c r="A35" s="186"/>
      <c r="B35" s="185" t="s">
        <v>128</v>
      </c>
      <c r="C35" s="40" t="s">
        <v>119</v>
      </c>
      <c r="D35" s="40" t="s">
        <v>119</v>
      </c>
      <c r="E35" s="40" t="s">
        <v>119</v>
      </c>
      <c r="F35" s="187"/>
      <c r="G35" s="187"/>
      <c r="H35" s="187"/>
      <c r="I35" s="187"/>
    </row>
    <row r="36" spans="1:9">
      <c r="A36" s="186"/>
      <c r="B36" s="258"/>
      <c r="C36" s="258"/>
      <c r="D36" s="258"/>
      <c r="E36" s="258"/>
      <c r="F36" s="258"/>
      <c r="G36" s="187"/>
      <c r="H36" s="187"/>
      <c r="I36" s="187"/>
    </row>
    <row r="37" spans="1:9">
      <c r="A37" s="186"/>
      <c r="B37" s="185" t="s">
        <v>129</v>
      </c>
      <c r="C37" s="39">
        <v>22074000</v>
      </c>
      <c r="D37" s="39">
        <v>21863000</v>
      </c>
      <c r="E37" s="39">
        <v>16978000</v>
      </c>
      <c r="F37" s="187"/>
      <c r="G37" s="187"/>
      <c r="H37" s="187"/>
      <c r="I37" s="187"/>
    </row>
    <row r="38" spans="1:9">
      <c r="A38" s="258"/>
      <c r="B38" s="258"/>
      <c r="C38" s="258"/>
      <c r="D38" s="258"/>
      <c r="E38" s="258"/>
      <c r="F38" s="187"/>
      <c r="G38" s="187"/>
      <c r="H38" s="187"/>
      <c r="I38" s="187"/>
    </row>
    <row r="39" spans="1:9" ht="13.8" customHeight="1">
      <c r="A39" s="186"/>
      <c r="B39" s="253" t="s">
        <v>130</v>
      </c>
      <c r="C39" s="253"/>
      <c r="D39" s="253"/>
      <c r="E39" s="253"/>
      <c r="F39" s="187"/>
      <c r="G39" s="187"/>
      <c r="H39" s="187"/>
      <c r="I39" s="187"/>
    </row>
    <row r="40" spans="1:9">
      <c r="A40" s="186"/>
      <c r="B40" s="185" t="s">
        <v>131</v>
      </c>
      <c r="C40" s="40" t="s">
        <v>119</v>
      </c>
      <c r="D40" s="40" t="s">
        <v>119</v>
      </c>
      <c r="E40" s="40" t="s">
        <v>119</v>
      </c>
      <c r="F40" s="187"/>
      <c r="G40" s="187"/>
      <c r="H40" s="187"/>
      <c r="I40" s="187"/>
    </row>
    <row r="41" spans="1:9">
      <c r="A41" s="186"/>
      <c r="B41" s="185" t="s">
        <v>132</v>
      </c>
      <c r="C41" s="40" t="s">
        <v>119</v>
      </c>
      <c r="D41" s="40" t="s">
        <v>119</v>
      </c>
      <c r="E41" s="40" t="s">
        <v>119</v>
      </c>
      <c r="F41" s="187"/>
      <c r="G41" s="187"/>
      <c r="H41" s="187"/>
      <c r="I41" s="187"/>
    </row>
    <row r="42" spans="1:9">
      <c r="A42" s="186"/>
      <c r="B42" s="185" t="s">
        <v>133</v>
      </c>
      <c r="C42" s="40" t="s">
        <v>119</v>
      </c>
      <c r="D42" s="40" t="s">
        <v>119</v>
      </c>
      <c r="E42" s="40" t="s">
        <v>119</v>
      </c>
      <c r="F42" s="187"/>
      <c r="G42" s="187"/>
      <c r="H42" s="187"/>
      <c r="I42" s="187"/>
    </row>
    <row r="43" spans="1:9">
      <c r="A43" s="186"/>
      <c r="B43" s="185" t="s">
        <v>134</v>
      </c>
      <c r="C43" s="40" t="s">
        <v>119</v>
      </c>
      <c r="D43" s="40" t="s">
        <v>119</v>
      </c>
      <c r="E43" s="40" t="s">
        <v>119</v>
      </c>
      <c r="F43" s="187"/>
      <c r="G43" s="187"/>
      <c r="H43" s="187"/>
      <c r="I43" s="187"/>
    </row>
    <row r="44" spans="1:9" ht="15" thickBot="1">
      <c r="A44" s="256"/>
      <c r="B44" s="256"/>
      <c r="C44" s="256"/>
      <c r="D44" s="256"/>
      <c r="E44" s="256"/>
      <c r="F44" s="187"/>
      <c r="G44" s="187"/>
      <c r="H44" s="187"/>
      <c r="I44" s="187"/>
    </row>
    <row r="45" spans="1:9" ht="15" thickTop="1">
      <c r="A45" s="257"/>
      <c r="B45" s="257"/>
      <c r="C45" s="257"/>
      <c r="D45" s="257"/>
      <c r="E45" s="257"/>
      <c r="F45" s="187"/>
      <c r="G45" s="187"/>
      <c r="H45" s="187"/>
      <c r="I45" s="187"/>
    </row>
    <row r="46" spans="1:9" ht="13.8" customHeight="1">
      <c r="A46" s="254" t="s">
        <v>135</v>
      </c>
      <c r="B46" s="254"/>
      <c r="C46" s="41">
        <v>22074000</v>
      </c>
      <c r="D46" s="41">
        <v>21863000</v>
      </c>
      <c r="E46" s="41">
        <v>16978000</v>
      </c>
      <c r="F46" s="187"/>
      <c r="G46" s="187"/>
      <c r="H46" s="187"/>
      <c r="I46" s="187"/>
    </row>
    <row r="47" spans="1:9" ht="15" thickBot="1">
      <c r="A47" s="255" t="s">
        <v>136</v>
      </c>
      <c r="B47" s="255"/>
      <c r="C47" s="40" t="s">
        <v>119</v>
      </c>
      <c r="D47" s="40" t="s">
        <v>119</v>
      </c>
      <c r="E47" s="40" t="s">
        <v>119</v>
      </c>
      <c r="F47" s="187"/>
      <c r="G47" s="187"/>
      <c r="H47" s="187"/>
      <c r="I47" s="187"/>
    </row>
    <row r="48" spans="1:9" ht="15" thickTop="1">
      <c r="A48" s="257"/>
      <c r="B48" s="257"/>
      <c r="C48" s="257"/>
      <c r="D48" s="257"/>
      <c r="E48" s="257"/>
      <c r="F48" s="187"/>
      <c r="G48" s="187"/>
      <c r="H48" s="187"/>
      <c r="I48" s="187"/>
    </row>
    <row r="49" spans="1:9" ht="13.8" customHeight="1">
      <c r="A49" s="254" t="s">
        <v>137</v>
      </c>
      <c r="B49" s="254"/>
      <c r="C49" s="41">
        <v>22074000</v>
      </c>
      <c r="D49" s="41">
        <v>21863000</v>
      </c>
      <c r="E49" s="41">
        <v>16978000</v>
      </c>
      <c r="F49" s="187"/>
      <c r="G49" s="187"/>
      <c r="H49" s="187"/>
      <c r="I49" s="187"/>
    </row>
    <row r="50" spans="1:9">
      <c r="A50" s="42" t="s">
        <v>138</v>
      </c>
      <c r="B50" s="187"/>
      <c r="C50" s="187"/>
      <c r="D50" s="187"/>
      <c r="E50" s="187"/>
      <c r="F50" s="187"/>
      <c r="G50" s="187"/>
      <c r="H50" s="187"/>
      <c r="I50" s="187"/>
    </row>
    <row r="51" spans="1:9">
      <c r="A51" s="43" t="s">
        <v>139</v>
      </c>
      <c r="B51" s="187"/>
      <c r="C51" s="187"/>
      <c r="D51" s="187"/>
      <c r="E51" s="187"/>
      <c r="F51" s="187"/>
      <c r="G51" s="187"/>
      <c r="H51" s="187"/>
      <c r="I51" s="187"/>
    </row>
    <row r="52" spans="1:9">
      <c r="A52" s="43" t="s">
        <v>140</v>
      </c>
      <c r="B52" s="187"/>
      <c r="C52" s="187"/>
      <c r="D52" s="187"/>
      <c r="E52" s="187"/>
      <c r="F52" s="187"/>
      <c r="G52" s="187"/>
      <c r="H52" s="187"/>
      <c r="I52" s="187"/>
    </row>
    <row r="53" spans="1:9" ht="13.8" customHeight="1">
      <c r="A53" s="253" t="s">
        <v>141</v>
      </c>
      <c r="B53" s="253"/>
      <c r="C53" s="253"/>
      <c r="D53" s="253"/>
      <c r="E53" s="253"/>
      <c r="F53" s="253"/>
      <c r="G53" s="253"/>
      <c r="H53" s="187"/>
      <c r="I53" s="187"/>
    </row>
    <row r="54" spans="1:9">
      <c r="A54" s="187"/>
      <c r="B54" s="187"/>
      <c r="C54" s="187"/>
      <c r="D54" s="187"/>
      <c r="E54" s="187"/>
      <c r="F54" s="187"/>
      <c r="G54" s="187"/>
      <c r="H54" s="187"/>
      <c r="I54" s="187"/>
    </row>
    <row r="55" spans="1:9">
      <c r="A55" s="173" t="s">
        <v>142</v>
      </c>
      <c r="B55" s="187"/>
      <c r="C55" s="187"/>
      <c r="D55" s="187"/>
      <c r="E55" s="187"/>
      <c r="F55" s="187"/>
      <c r="G55" s="187"/>
      <c r="H55" s="187"/>
      <c r="I55" s="187"/>
    </row>
    <row r="56" spans="1:9" ht="86.4">
      <c r="A56" s="37" t="s">
        <v>143</v>
      </c>
      <c r="B56" s="187"/>
      <c r="C56" s="187"/>
      <c r="D56" s="187"/>
      <c r="E56" s="187"/>
      <c r="F56" s="187"/>
      <c r="G56" s="187"/>
      <c r="H56" s="187"/>
      <c r="I56" s="187"/>
    </row>
    <row r="57" spans="1:9">
      <c r="A57" s="186"/>
      <c r="B57" s="187"/>
      <c r="C57" s="187"/>
      <c r="D57" s="187"/>
      <c r="E57" s="187"/>
      <c r="F57" s="187"/>
      <c r="G57" s="187"/>
      <c r="H57" s="187"/>
      <c r="I57" s="187"/>
    </row>
    <row r="58" spans="1:9">
      <c r="A58" s="185" t="s">
        <v>144</v>
      </c>
      <c r="B58" s="187"/>
      <c r="C58" s="187"/>
      <c r="D58" s="187"/>
      <c r="E58" s="187"/>
      <c r="F58" s="187"/>
      <c r="G58" s="187"/>
      <c r="H58" s="187"/>
      <c r="I58" s="187"/>
    </row>
    <row r="59" spans="1:9">
      <c r="A59" s="186"/>
      <c r="B59" s="187"/>
      <c r="C59" s="187"/>
      <c r="D59" s="187"/>
      <c r="E59" s="187"/>
      <c r="F59" s="187"/>
      <c r="G59" s="187"/>
      <c r="H59" s="187"/>
      <c r="I59" s="187"/>
    </row>
  </sheetData>
  <mergeCells count="26">
    <mergeCell ref="A27:B27"/>
    <mergeCell ref="A14:B14"/>
    <mergeCell ref="A16:B16"/>
    <mergeCell ref="A15:E15"/>
    <mergeCell ref="A17:E17"/>
    <mergeCell ref="B18:E18"/>
    <mergeCell ref="B23:F23"/>
    <mergeCell ref="A25:E25"/>
    <mergeCell ref="A26:E26"/>
    <mergeCell ref="A1:A2"/>
    <mergeCell ref="A12:B12"/>
    <mergeCell ref="A13:B13"/>
    <mergeCell ref="A10:F10"/>
    <mergeCell ref="A11:F11"/>
    <mergeCell ref="A28:E28"/>
    <mergeCell ref="B29:E29"/>
    <mergeCell ref="B36:F36"/>
    <mergeCell ref="A38:E38"/>
    <mergeCell ref="B39:E39"/>
    <mergeCell ref="A53:G53"/>
    <mergeCell ref="A49:B49"/>
    <mergeCell ref="A46:B46"/>
    <mergeCell ref="A47:B47"/>
    <mergeCell ref="A44:E44"/>
    <mergeCell ref="A45:E45"/>
    <mergeCell ref="A48:E48"/>
  </mergeCells>
  <hyperlinks>
    <hyperlink ref="A8" r:id="rId1" display="http://clicks.beap.bc.yahoo.com/yc/YnY9MS4wLjAmYnM9KDE3c2NmYmVzcShnaWQkbS5ES3REWTVMakdCZUJ2Y1ZFVW1SUUFFTVRJNUxsUjNJVVhfX3d1VSxzdCQxNDE3MDkzNDQ1NDIxNzI2LHNpJDQ0NTEwNTEsc3AkOTU5NDE0NDAsY3IkNDI5MzE3ODA1MSx2JDIuMCxhaWQkVFBSREUyS0w0TkktLGN0JDI1LHlieCRfcy4udjBkdlFvTHlIOV83Z2VKWDNnLGJpJDIxNzgwODg1NTEsbW1lJDkxOTMzNDMzNTY3OTkxOTg0ODksbG5nJGVuLXVzLHIkMSxyZCQxNGJ0N29ncGIseW9vJDEsYWdwJDMzMzMzNTMwNTEsYXAkRkIyKSk/1/*https:/ad.wsod.com/click/8bec9b10877d5d7fd7c0fb6e6a631357/1542.0.img.120x60/?yud=&amp;encver=$%7bENC_VERSION%7d&amp;encalgo=$%7bENC_ALGO%7d&amp;app=apt&amp;intf=1"/>
    <hyperlink ref="B8" r:id="rId2" display="http://clicks.beap.bc.yahoo.com/yc/YnY9MS4wLjAmYnM9KDE3c2ZlMWEzYyhnaWQkbS5ES3REWTVMakdCZUJ2Y1ZFVW1SUUFFTVRJNUxsUjNJVVhfX3d1VSxzdCQxNDE3MDkzNDQ1NDIxNzI2LHNpJDQ0NTEwNTEsc3AkOTU5NDE0NDAsY3IkNDI3ODEyMDU1MSx2JDIuMCxhaWQkZ0ZsRUUyS0w0TkktLGN0JDI1LHlieCRfcy4udjBkdlFvTHlIOV83Z2VKWDNnLGJpJDIxNDk3MjIwNTEsbW1lJDkwNzQ1MTIzNDkxMzcwNDg3OTcsbG5nJGVuLXVzLHIkMSxyZCQxNHE0MXNzb2oseW9vJDEsYWdwJDMyODcyNzc1NTEsYXAkRkIyKSk/1/*https:/ad.wsod.com/click/577da7fee6e9ff57afc5f23882acdf54/60.0.img.120x60/1417093445.463194?yud=&amp;encver=$%7bENC_VERSION%7d&amp;encalgo=$%7bENC_ALGO%7d&amp;app=apt&amp;intf=1"/>
    <hyperlink ref="A11" r:id="rId3" display="http://finance.yahoo.com/q/is?s=MSFT"/>
    <hyperlink ref="A56" r:id="rId4" display="http://help.yahoo.com/l/us/yahoo/finance/quotes/fitadelay.html"/>
  </hyperlinks>
  <pageMargins left="0.7" right="0.7" top="0.75" bottom="0.75" header="0.3" footer="0.3"/>
  <pageSetup orientation="portrait" horizontalDpi="75" verticalDpi="75" r:id="rId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70"/>
  <sheetViews>
    <sheetView showGridLines="0" workbookViewId="0">
      <selection sqref="A1:XFD1048576"/>
    </sheetView>
  </sheetViews>
  <sheetFormatPr defaultColWidth="8.6640625" defaultRowHeight="14.4"/>
  <cols>
    <col min="1" max="1" width="80.88671875" customWidth="1"/>
    <col min="2" max="2" width="24.88671875" customWidth="1"/>
    <col min="3" max="5" width="10.88671875" customWidth="1"/>
    <col min="6" max="6" width="16.44140625" customWidth="1"/>
  </cols>
  <sheetData>
    <row r="1" spans="1:8">
      <c r="A1" s="258"/>
      <c r="B1" s="34" t="s">
        <v>78</v>
      </c>
      <c r="C1" s="187"/>
      <c r="D1" s="187"/>
      <c r="E1" s="187"/>
      <c r="F1" s="187"/>
      <c r="G1" s="187"/>
      <c r="H1" s="187"/>
    </row>
    <row r="2" spans="1:8">
      <c r="A2" s="258"/>
      <c r="B2" s="34" t="s">
        <v>79</v>
      </c>
      <c r="C2" s="187"/>
      <c r="D2" s="187"/>
      <c r="E2" s="187"/>
      <c r="F2" s="187"/>
      <c r="G2" s="187"/>
      <c r="H2" s="187"/>
    </row>
    <row r="3" spans="1:8">
      <c r="A3" s="187"/>
      <c r="B3" s="187"/>
      <c r="C3" s="187"/>
      <c r="D3" s="187"/>
      <c r="E3" s="187"/>
      <c r="F3" s="187"/>
      <c r="G3" s="187"/>
      <c r="H3" s="187"/>
    </row>
    <row r="4" spans="1:8">
      <c r="A4" s="186"/>
      <c r="B4" s="187"/>
      <c r="C4" s="187"/>
      <c r="D4" s="187"/>
      <c r="E4" s="187"/>
      <c r="F4" s="187"/>
      <c r="G4" s="187"/>
      <c r="H4" s="187"/>
    </row>
    <row r="5" spans="1:8">
      <c r="A5" s="187"/>
      <c r="B5" s="187"/>
      <c r="C5" s="187"/>
      <c r="D5" s="187"/>
      <c r="E5" s="187"/>
      <c r="F5" s="187"/>
      <c r="G5" s="187"/>
      <c r="H5" s="187"/>
    </row>
    <row r="6" spans="1:8">
      <c r="A6" s="186"/>
      <c r="B6" s="187"/>
      <c r="C6" s="187"/>
      <c r="D6" s="187"/>
      <c r="E6" s="187"/>
      <c r="F6" s="187"/>
      <c r="G6" s="187"/>
      <c r="H6" s="187"/>
    </row>
    <row r="7" spans="1:8">
      <c r="A7" s="187"/>
      <c r="B7" s="187"/>
      <c r="C7" s="187"/>
      <c r="D7" s="187"/>
      <c r="E7" s="187"/>
      <c r="F7" s="187"/>
      <c r="G7" s="187"/>
      <c r="H7" s="187"/>
    </row>
    <row r="8" spans="1:8">
      <c r="A8" s="188"/>
      <c r="B8" s="35"/>
      <c r="C8" s="35"/>
      <c r="D8" s="188"/>
      <c r="E8" s="187"/>
      <c r="F8" s="187"/>
      <c r="G8" s="187"/>
      <c r="H8" s="187"/>
    </row>
    <row r="9" spans="1:8">
      <c r="A9" s="187"/>
      <c r="B9" s="187"/>
      <c r="C9" s="187"/>
      <c r="D9" s="187"/>
      <c r="E9" s="187"/>
      <c r="F9" s="187"/>
      <c r="G9" s="187"/>
      <c r="H9" s="187"/>
    </row>
    <row r="10" spans="1:8" ht="16.2" thickBot="1">
      <c r="A10" s="260" t="s">
        <v>145</v>
      </c>
      <c r="B10" s="260"/>
      <c r="C10" s="260"/>
      <c r="D10" s="260"/>
      <c r="E10" s="260"/>
      <c r="F10" s="36" t="s">
        <v>146</v>
      </c>
      <c r="G10" s="187"/>
      <c r="H10" s="187"/>
    </row>
    <row r="11" spans="1:8" ht="15" customHeight="1">
      <c r="A11" s="261" t="s">
        <v>111</v>
      </c>
      <c r="B11" s="261"/>
      <c r="C11" s="261"/>
      <c r="D11" s="261"/>
      <c r="E11" s="261"/>
      <c r="F11" s="38" t="s">
        <v>112</v>
      </c>
      <c r="G11" s="187"/>
      <c r="H11" s="187"/>
    </row>
    <row r="12" spans="1:8">
      <c r="A12" s="262" t="s">
        <v>113</v>
      </c>
      <c r="B12" s="262"/>
      <c r="C12" s="157">
        <v>41820</v>
      </c>
      <c r="D12" s="157">
        <v>41455</v>
      </c>
      <c r="E12" s="157">
        <v>41090</v>
      </c>
      <c r="F12" s="187"/>
      <c r="G12" s="187"/>
      <c r="H12" s="187"/>
    </row>
    <row r="13" spans="1:8">
      <c r="A13" s="258"/>
      <c r="B13" s="258"/>
      <c r="C13" s="258"/>
      <c r="D13" s="258"/>
      <c r="E13" s="258"/>
      <c r="F13" s="187"/>
      <c r="G13" s="187"/>
      <c r="H13" s="187"/>
    </row>
    <row r="14" spans="1:8" ht="13.8" customHeight="1">
      <c r="A14" s="254" t="s">
        <v>147</v>
      </c>
      <c r="B14" s="254"/>
      <c r="C14" s="254"/>
      <c r="D14" s="254"/>
      <c r="E14" s="254"/>
      <c r="F14" s="187"/>
      <c r="G14" s="187"/>
      <c r="H14" s="187"/>
    </row>
    <row r="15" spans="1:8" ht="13.8" customHeight="1">
      <c r="A15" s="253" t="s">
        <v>148</v>
      </c>
      <c r="B15" s="253"/>
      <c r="C15" s="253"/>
      <c r="D15" s="253"/>
      <c r="E15" s="253"/>
      <c r="F15" s="187"/>
      <c r="G15" s="187"/>
      <c r="H15" s="187"/>
    </row>
    <row r="16" spans="1:8">
      <c r="A16" s="186"/>
      <c r="B16" s="185" t="s">
        <v>149</v>
      </c>
      <c r="C16" s="39">
        <v>8669000</v>
      </c>
      <c r="D16" s="39">
        <v>3804000</v>
      </c>
      <c r="E16" s="39">
        <v>6938000</v>
      </c>
      <c r="F16" s="187"/>
      <c r="G16" s="187"/>
      <c r="H16" s="187"/>
    </row>
    <row r="17" spans="1:8">
      <c r="A17" s="186"/>
      <c r="B17" s="185" t="s">
        <v>150</v>
      </c>
      <c r="C17" s="39">
        <v>77040000</v>
      </c>
      <c r="D17" s="39">
        <v>73218000</v>
      </c>
      <c r="E17" s="39">
        <v>56102000</v>
      </c>
      <c r="F17" s="187"/>
      <c r="G17" s="187"/>
      <c r="H17" s="187"/>
    </row>
    <row r="18" spans="1:8">
      <c r="A18" s="186"/>
      <c r="B18" s="185" t="s">
        <v>151</v>
      </c>
      <c r="C18" s="39">
        <v>21485000</v>
      </c>
      <c r="D18" s="39">
        <v>19118000</v>
      </c>
      <c r="E18" s="39">
        <v>17815000</v>
      </c>
      <c r="F18" s="187"/>
      <c r="G18" s="187"/>
      <c r="H18" s="187"/>
    </row>
    <row r="19" spans="1:8">
      <c r="A19" s="186"/>
      <c r="B19" s="185" t="s">
        <v>19</v>
      </c>
      <c r="C19" s="39">
        <v>2660000</v>
      </c>
      <c r="D19" s="39">
        <v>1938000</v>
      </c>
      <c r="E19" s="39">
        <v>1137000</v>
      </c>
      <c r="F19" s="187"/>
      <c r="G19" s="187"/>
      <c r="H19" s="187"/>
    </row>
    <row r="20" spans="1:8" ht="15" thickBot="1">
      <c r="A20" s="186"/>
      <c r="B20" s="185" t="s">
        <v>152</v>
      </c>
      <c r="C20" s="39">
        <v>4392000</v>
      </c>
      <c r="D20" s="39">
        <v>3388000</v>
      </c>
      <c r="E20" s="39">
        <v>3092000</v>
      </c>
      <c r="F20" s="187"/>
      <c r="G20" s="187"/>
      <c r="H20" s="187"/>
    </row>
    <row r="21" spans="1:8" ht="15" thickTop="1">
      <c r="A21" s="257"/>
      <c r="B21" s="257"/>
      <c r="C21" s="257"/>
      <c r="D21" s="257"/>
      <c r="E21" s="257"/>
      <c r="F21" s="187"/>
      <c r="G21" s="187"/>
      <c r="H21" s="187"/>
    </row>
    <row r="22" spans="1:8" ht="13.8" customHeight="1">
      <c r="A22" s="254" t="s">
        <v>153</v>
      </c>
      <c r="B22" s="254"/>
      <c r="C22" s="41">
        <v>114246000</v>
      </c>
      <c r="D22" s="41">
        <v>101466000</v>
      </c>
      <c r="E22" s="41">
        <v>85084000</v>
      </c>
      <c r="F22" s="187"/>
      <c r="G22" s="187"/>
      <c r="H22" s="187"/>
    </row>
    <row r="23" spans="1:8" ht="13.8" customHeight="1">
      <c r="A23" s="253" t="s">
        <v>154</v>
      </c>
      <c r="B23" s="253"/>
      <c r="C23" s="39">
        <v>14597000</v>
      </c>
      <c r="D23" s="39">
        <v>10844000</v>
      </c>
      <c r="E23" s="39">
        <v>9776000</v>
      </c>
      <c r="F23" s="187"/>
      <c r="G23" s="187"/>
      <c r="H23" s="187"/>
    </row>
    <row r="24" spans="1:8" ht="13.8" customHeight="1">
      <c r="A24" s="253" t="s">
        <v>155</v>
      </c>
      <c r="B24" s="253"/>
      <c r="C24" s="39">
        <v>13011000</v>
      </c>
      <c r="D24" s="39">
        <v>9991000</v>
      </c>
      <c r="E24" s="39">
        <v>8269000</v>
      </c>
      <c r="F24" s="187"/>
      <c r="G24" s="187"/>
      <c r="H24" s="187"/>
    </row>
    <row r="25" spans="1:8" ht="13.8" customHeight="1">
      <c r="A25" s="253" t="s">
        <v>156</v>
      </c>
      <c r="B25" s="253"/>
      <c r="C25" s="39">
        <v>20127000</v>
      </c>
      <c r="D25" s="39">
        <v>14655000</v>
      </c>
      <c r="E25" s="39">
        <v>13452000</v>
      </c>
      <c r="F25" s="187"/>
      <c r="G25" s="187"/>
      <c r="H25" s="187"/>
    </row>
    <row r="26" spans="1:8" ht="13.8" customHeight="1">
      <c r="A26" s="253" t="s">
        <v>157</v>
      </c>
      <c r="B26" s="253"/>
      <c r="C26" s="39">
        <v>6981000</v>
      </c>
      <c r="D26" s="39">
        <v>3083000</v>
      </c>
      <c r="E26" s="39">
        <v>3170000</v>
      </c>
      <c r="F26" s="187"/>
      <c r="G26" s="187"/>
      <c r="H26" s="187"/>
    </row>
    <row r="27" spans="1:8" ht="13.8" customHeight="1">
      <c r="A27" s="253" t="s">
        <v>158</v>
      </c>
      <c r="B27" s="253"/>
      <c r="C27" s="40" t="s">
        <v>119</v>
      </c>
      <c r="D27" s="40" t="s">
        <v>119</v>
      </c>
      <c r="E27" s="40" t="s">
        <v>119</v>
      </c>
      <c r="F27" s="187"/>
      <c r="G27" s="187"/>
      <c r="H27" s="187"/>
    </row>
    <row r="28" spans="1:8" ht="13.8" customHeight="1">
      <c r="A28" s="253" t="s">
        <v>159</v>
      </c>
      <c r="B28" s="253"/>
      <c r="C28" s="39">
        <v>3422000</v>
      </c>
      <c r="D28" s="39">
        <v>2392000</v>
      </c>
      <c r="E28" s="39">
        <v>1520000</v>
      </c>
      <c r="F28" s="187"/>
      <c r="G28" s="187"/>
      <c r="H28" s="187"/>
    </row>
    <row r="29" spans="1:8" ht="15" thickBot="1">
      <c r="A29" s="255" t="s">
        <v>160</v>
      </c>
      <c r="B29" s="255"/>
      <c r="C29" s="40" t="s">
        <v>119</v>
      </c>
      <c r="D29" s="40" t="s">
        <v>119</v>
      </c>
      <c r="E29" s="40" t="s">
        <v>119</v>
      </c>
      <c r="F29" s="187"/>
      <c r="G29" s="187"/>
      <c r="H29" s="187"/>
    </row>
    <row r="30" spans="1:8" ht="15" thickTop="1">
      <c r="A30" s="257"/>
      <c r="B30" s="257"/>
      <c r="C30" s="257"/>
      <c r="D30" s="257"/>
      <c r="E30" s="257"/>
      <c r="F30" s="187"/>
      <c r="G30" s="187"/>
      <c r="H30" s="187"/>
    </row>
    <row r="31" spans="1:8" ht="13.8" customHeight="1">
      <c r="A31" s="254" t="s">
        <v>161</v>
      </c>
      <c r="B31" s="254"/>
      <c r="C31" s="41">
        <v>172384000</v>
      </c>
      <c r="D31" s="41">
        <v>142431000</v>
      </c>
      <c r="E31" s="41">
        <v>121271000</v>
      </c>
      <c r="F31" s="187"/>
      <c r="G31" s="187"/>
      <c r="H31" s="187"/>
    </row>
    <row r="32" spans="1:8">
      <c r="A32" s="258"/>
      <c r="B32" s="258"/>
      <c r="C32" s="258"/>
      <c r="D32" s="258"/>
      <c r="E32" s="258"/>
      <c r="F32" s="187"/>
      <c r="G32" s="187"/>
      <c r="H32" s="187"/>
    </row>
    <row r="33" spans="1:8" ht="13.8" customHeight="1">
      <c r="A33" s="254" t="s">
        <v>162</v>
      </c>
      <c r="B33" s="254"/>
      <c r="C33" s="254"/>
      <c r="D33" s="254"/>
      <c r="E33" s="254"/>
      <c r="F33" s="187"/>
      <c r="G33" s="187"/>
      <c r="H33" s="187"/>
    </row>
    <row r="34" spans="1:8" ht="13.8" customHeight="1">
      <c r="A34" s="253" t="s">
        <v>163</v>
      </c>
      <c r="B34" s="253"/>
      <c r="C34" s="253"/>
      <c r="D34" s="253"/>
      <c r="E34" s="253"/>
      <c r="F34" s="187"/>
      <c r="G34" s="187"/>
      <c r="H34" s="187"/>
    </row>
    <row r="35" spans="1:8">
      <c r="A35" s="186"/>
      <c r="B35" s="185" t="s">
        <v>20</v>
      </c>
      <c r="C35" s="39">
        <v>13569000</v>
      </c>
      <c r="D35" s="39">
        <v>10182000</v>
      </c>
      <c r="E35" s="39">
        <v>9653000</v>
      </c>
      <c r="F35" s="187"/>
      <c r="G35" s="187"/>
      <c r="H35" s="187"/>
    </row>
    <row r="36" spans="1:8">
      <c r="A36" s="186"/>
      <c r="B36" s="185" t="s">
        <v>164</v>
      </c>
      <c r="C36" s="39">
        <v>2000000</v>
      </c>
      <c r="D36" s="39">
        <v>2999000</v>
      </c>
      <c r="E36" s="39">
        <v>1231000</v>
      </c>
      <c r="F36" s="187"/>
      <c r="G36" s="187"/>
      <c r="H36" s="187"/>
    </row>
    <row r="37" spans="1:8" ht="15" thickBot="1">
      <c r="A37" s="186"/>
      <c r="B37" s="185" t="s">
        <v>165</v>
      </c>
      <c r="C37" s="39">
        <v>30056000</v>
      </c>
      <c r="D37" s="39">
        <v>24236000</v>
      </c>
      <c r="E37" s="39">
        <v>21804000</v>
      </c>
      <c r="F37" s="187"/>
      <c r="G37" s="187"/>
      <c r="H37" s="187"/>
    </row>
    <row r="38" spans="1:8" ht="15" thickTop="1">
      <c r="A38" s="257"/>
      <c r="B38" s="257"/>
      <c r="C38" s="257"/>
      <c r="D38" s="257"/>
      <c r="E38" s="257"/>
      <c r="F38" s="187"/>
      <c r="G38" s="187"/>
      <c r="H38" s="187"/>
    </row>
    <row r="39" spans="1:8" ht="13.8" customHeight="1">
      <c r="A39" s="254" t="s">
        <v>166</v>
      </c>
      <c r="B39" s="254"/>
      <c r="C39" s="41">
        <v>45625000</v>
      </c>
      <c r="D39" s="41">
        <v>37417000</v>
      </c>
      <c r="E39" s="41">
        <v>32688000</v>
      </c>
      <c r="F39" s="187"/>
      <c r="G39" s="187"/>
      <c r="H39" s="187"/>
    </row>
    <row r="40" spans="1:8" ht="13.8" customHeight="1">
      <c r="A40" s="253" t="s">
        <v>167</v>
      </c>
      <c r="B40" s="253"/>
      <c r="C40" s="39">
        <v>20645000</v>
      </c>
      <c r="D40" s="39">
        <v>12601000</v>
      </c>
      <c r="E40" s="39">
        <v>10713000</v>
      </c>
      <c r="F40" s="187"/>
      <c r="G40" s="187"/>
      <c r="H40" s="187"/>
    </row>
    <row r="41" spans="1:8" ht="13.8" customHeight="1">
      <c r="A41" s="253" t="s">
        <v>168</v>
      </c>
      <c r="B41" s="253"/>
      <c r="C41" s="39">
        <v>11594000</v>
      </c>
      <c r="D41" s="39">
        <v>10000000</v>
      </c>
      <c r="E41" s="39">
        <v>8208000</v>
      </c>
      <c r="F41" s="187"/>
      <c r="G41" s="187"/>
      <c r="H41" s="187"/>
    </row>
    <row r="42" spans="1:8" ht="13.8" customHeight="1">
      <c r="A42" s="253" t="s">
        <v>169</v>
      </c>
      <c r="B42" s="253"/>
      <c r="C42" s="39">
        <v>4736000</v>
      </c>
      <c r="D42" s="39">
        <v>3469000</v>
      </c>
      <c r="E42" s="39">
        <v>3299000</v>
      </c>
      <c r="F42" s="187"/>
      <c r="G42" s="187"/>
      <c r="H42" s="187"/>
    </row>
    <row r="43" spans="1:8" ht="13.8" customHeight="1">
      <c r="A43" s="253" t="s">
        <v>128</v>
      </c>
      <c r="B43" s="253"/>
      <c r="C43" s="40" t="s">
        <v>119</v>
      </c>
      <c r="D43" s="40" t="s">
        <v>119</v>
      </c>
      <c r="E43" s="40" t="s">
        <v>119</v>
      </c>
      <c r="F43" s="187"/>
      <c r="G43" s="187"/>
      <c r="H43" s="187"/>
    </row>
    <row r="44" spans="1:8" ht="15" thickBot="1">
      <c r="A44" s="255" t="s">
        <v>170</v>
      </c>
      <c r="B44" s="255"/>
      <c r="C44" s="40" t="s">
        <v>119</v>
      </c>
      <c r="D44" s="40" t="s">
        <v>119</v>
      </c>
      <c r="E44" s="40" t="s">
        <v>119</v>
      </c>
      <c r="F44" s="187"/>
      <c r="G44" s="187"/>
      <c r="H44" s="187"/>
    </row>
    <row r="45" spans="1:8" ht="15" thickTop="1">
      <c r="A45" s="257"/>
      <c r="B45" s="257"/>
      <c r="C45" s="257"/>
      <c r="D45" s="257"/>
      <c r="E45" s="257"/>
      <c r="F45" s="187"/>
      <c r="G45" s="187"/>
      <c r="H45" s="187"/>
    </row>
    <row r="46" spans="1:8" ht="13.8" customHeight="1">
      <c r="A46" s="254" t="s">
        <v>171</v>
      </c>
      <c r="B46" s="254"/>
      <c r="C46" s="41">
        <v>82600000</v>
      </c>
      <c r="D46" s="41">
        <v>63487000</v>
      </c>
      <c r="E46" s="41">
        <v>54908000</v>
      </c>
      <c r="F46" s="187"/>
      <c r="G46" s="187"/>
      <c r="H46" s="187"/>
    </row>
    <row r="47" spans="1:8">
      <c r="A47" s="258"/>
      <c r="B47" s="258"/>
      <c r="C47" s="258"/>
      <c r="D47" s="258"/>
      <c r="E47" s="258"/>
      <c r="F47" s="187"/>
      <c r="G47" s="187"/>
      <c r="H47" s="187"/>
    </row>
    <row r="48" spans="1:8" ht="13.8" customHeight="1">
      <c r="A48" s="254" t="s">
        <v>172</v>
      </c>
      <c r="B48" s="254"/>
      <c r="C48" s="254"/>
      <c r="D48" s="254"/>
      <c r="E48" s="254"/>
      <c r="F48" s="187"/>
      <c r="G48" s="187"/>
      <c r="H48" s="187"/>
    </row>
    <row r="49" spans="1:8" ht="13.8" customHeight="1">
      <c r="A49" s="253" t="s">
        <v>173</v>
      </c>
      <c r="B49" s="253"/>
      <c r="C49" s="40" t="s">
        <v>119</v>
      </c>
      <c r="D49" s="40" t="s">
        <v>119</v>
      </c>
      <c r="E49" s="40" t="s">
        <v>119</v>
      </c>
      <c r="F49" s="187"/>
      <c r="G49" s="187"/>
      <c r="H49" s="187"/>
    </row>
    <row r="50" spans="1:8" ht="13.8" customHeight="1">
      <c r="A50" s="253" t="s">
        <v>174</v>
      </c>
      <c r="B50" s="253"/>
      <c r="C50" s="40" t="s">
        <v>119</v>
      </c>
      <c r="D50" s="40" t="s">
        <v>119</v>
      </c>
      <c r="E50" s="40" t="s">
        <v>119</v>
      </c>
      <c r="F50" s="187"/>
      <c r="G50" s="187"/>
      <c r="H50" s="187"/>
    </row>
    <row r="51" spans="1:8" ht="13.8" customHeight="1">
      <c r="A51" s="253" t="s">
        <v>175</v>
      </c>
      <c r="B51" s="253"/>
      <c r="C51" s="40" t="s">
        <v>119</v>
      </c>
      <c r="D51" s="40" t="s">
        <v>119</v>
      </c>
      <c r="E51" s="40" t="s">
        <v>119</v>
      </c>
      <c r="F51" s="187"/>
      <c r="G51" s="187"/>
      <c r="H51" s="187"/>
    </row>
    <row r="52" spans="1:8" ht="13.8" customHeight="1">
      <c r="A52" s="253" t="s">
        <v>176</v>
      </c>
      <c r="B52" s="253"/>
      <c r="C52" s="39">
        <v>68366000</v>
      </c>
      <c r="D52" s="39">
        <v>67306000</v>
      </c>
      <c r="E52" s="39">
        <v>65797000</v>
      </c>
      <c r="F52" s="187"/>
      <c r="G52" s="187"/>
      <c r="H52" s="187"/>
    </row>
    <row r="53" spans="1:8" ht="13.8" customHeight="1">
      <c r="A53" s="253" t="s">
        <v>177</v>
      </c>
      <c r="B53" s="253"/>
      <c r="C53" s="39">
        <v>17710000</v>
      </c>
      <c r="D53" s="39">
        <v>9895000</v>
      </c>
      <c r="E53" s="39">
        <v>-856000</v>
      </c>
      <c r="F53" s="187"/>
      <c r="G53" s="187"/>
      <c r="H53" s="187"/>
    </row>
    <row r="54" spans="1:8" ht="13.8" customHeight="1">
      <c r="A54" s="253" t="s">
        <v>178</v>
      </c>
      <c r="B54" s="253"/>
      <c r="C54" s="40" t="s">
        <v>119</v>
      </c>
      <c r="D54" s="40" t="s">
        <v>119</v>
      </c>
      <c r="E54" s="40" t="s">
        <v>119</v>
      </c>
      <c r="F54" s="187"/>
      <c r="G54" s="187"/>
      <c r="H54" s="187"/>
    </row>
    <row r="55" spans="1:8" ht="13.8" customHeight="1">
      <c r="A55" s="253" t="s">
        <v>179</v>
      </c>
      <c r="B55" s="253"/>
      <c r="C55" s="40" t="s">
        <v>119</v>
      </c>
      <c r="D55" s="40" t="s">
        <v>119</v>
      </c>
      <c r="E55" s="40" t="s">
        <v>119</v>
      </c>
      <c r="F55" s="187"/>
      <c r="G55" s="187"/>
      <c r="H55" s="187"/>
    </row>
    <row r="56" spans="1:8" ht="15" thickBot="1">
      <c r="A56" s="255" t="s">
        <v>180</v>
      </c>
      <c r="B56" s="255"/>
      <c r="C56" s="39">
        <v>3708000</v>
      </c>
      <c r="D56" s="39">
        <v>1743000</v>
      </c>
      <c r="E56" s="39">
        <v>1422000</v>
      </c>
      <c r="F56" s="187"/>
      <c r="G56" s="187"/>
      <c r="H56" s="187"/>
    </row>
    <row r="57" spans="1:8" ht="15" thickTop="1">
      <c r="A57" s="257"/>
      <c r="B57" s="257"/>
      <c r="C57" s="257"/>
      <c r="D57" s="257"/>
      <c r="E57" s="257"/>
      <c r="F57" s="187"/>
      <c r="G57" s="187"/>
      <c r="H57" s="187"/>
    </row>
    <row r="58" spans="1:8" ht="15" thickBot="1">
      <c r="A58" s="263" t="s">
        <v>181</v>
      </c>
      <c r="B58" s="263"/>
      <c r="C58" s="41">
        <v>89784000</v>
      </c>
      <c r="D58" s="41">
        <v>78944000</v>
      </c>
      <c r="E58" s="41">
        <v>66363000</v>
      </c>
      <c r="F58" s="187"/>
      <c r="G58" s="187"/>
      <c r="H58" s="187"/>
    </row>
    <row r="59" spans="1:8" ht="15" thickTop="1">
      <c r="A59" s="257"/>
      <c r="B59" s="257"/>
      <c r="C59" s="257"/>
      <c r="D59" s="257"/>
      <c r="E59" s="257"/>
      <c r="F59" s="187"/>
      <c r="G59" s="187"/>
      <c r="H59" s="187"/>
    </row>
    <row r="60" spans="1:8" ht="13.8" customHeight="1">
      <c r="A60" s="254" t="s">
        <v>182</v>
      </c>
      <c r="B60" s="254"/>
      <c r="C60" s="41">
        <v>62676000</v>
      </c>
      <c r="D60" s="41">
        <v>61206000</v>
      </c>
      <c r="E60" s="41">
        <v>49741000</v>
      </c>
      <c r="F60" s="187"/>
      <c r="G60" s="187"/>
      <c r="H60" s="187"/>
    </row>
    <row r="61" spans="1:8">
      <c r="A61" s="42" t="s">
        <v>138</v>
      </c>
      <c r="B61" s="187"/>
      <c r="C61" s="187"/>
      <c r="D61" s="187"/>
      <c r="E61" s="187"/>
      <c r="F61" s="187"/>
      <c r="G61" s="187"/>
      <c r="H61" s="187"/>
    </row>
    <row r="62" spans="1:8">
      <c r="A62" s="43" t="s">
        <v>139</v>
      </c>
      <c r="B62" s="187"/>
      <c r="C62" s="187"/>
      <c r="D62" s="187"/>
      <c r="E62" s="187"/>
      <c r="F62" s="187"/>
      <c r="G62" s="187"/>
      <c r="H62" s="187"/>
    </row>
    <row r="63" spans="1:8">
      <c r="A63" s="43" t="s">
        <v>140</v>
      </c>
      <c r="B63" s="187"/>
      <c r="C63" s="187"/>
      <c r="D63" s="187"/>
      <c r="E63" s="187"/>
      <c r="F63" s="187"/>
      <c r="G63" s="187"/>
      <c r="H63" s="187"/>
    </row>
    <row r="64" spans="1:8" ht="13.8" customHeight="1">
      <c r="A64" s="253" t="s">
        <v>141</v>
      </c>
      <c r="B64" s="253"/>
      <c r="C64" s="253"/>
      <c r="D64" s="253"/>
      <c r="E64" s="253"/>
      <c r="F64" s="253"/>
      <c r="G64" s="187"/>
      <c r="H64" s="187"/>
    </row>
    <row r="65" spans="1:8">
      <c r="A65" s="187"/>
      <c r="B65" s="187"/>
      <c r="C65" s="187"/>
      <c r="D65" s="187"/>
      <c r="E65" s="187"/>
      <c r="F65" s="187"/>
      <c r="G65" s="187"/>
      <c r="H65" s="187"/>
    </row>
    <row r="66" spans="1:8">
      <c r="A66" s="173" t="s">
        <v>142</v>
      </c>
      <c r="B66" s="187"/>
      <c r="C66" s="187"/>
      <c r="D66" s="187"/>
      <c r="E66" s="187"/>
      <c r="F66" s="187"/>
      <c r="G66" s="187"/>
      <c r="H66" s="187"/>
    </row>
    <row r="67" spans="1:8" ht="86.4">
      <c r="A67" s="37" t="s">
        <v>143</v>
      </c>
      <c r="B67" s="187"/>
      <c r="C67" s="187"/>
      <c r="D67" s="187"/>
      <c r="E67" s="187"/>
      <c r="F67" s="187"/>
      <c r="G67" s="187"/>
      <c r="H67" s="187"/>
    </row>
    <row r="68" spans="1:8">
      <c r="A68" s="186"/>
      <c r="B68" s="187"/>
      <c r="C68" s="187"/>
      <c r="D68" s="187"/>
      <c r="E68" s="187"/>
      <c r="F68" s="187"/>
      <c r="G68" s="187"/>
      <c r="H68" s="187"/>
    </row>
    <row r="69" spans="1:8">
      <c r="A69" s="185" t="s">
        <v>144</v>
      </c>
      <c r="B69" s="187"/>
      <c r="C69" s="187"/>
      <c r="D69" s="187"/>
      <c r="E69" s="187"/>
      <c r="F69" s="187"/>
      <c r="G69" s="187"/>
      <c r="H69" s="187"/>
    </row>
    <row r="70" spans="1:8">
      <c r="A70" s="186"/>
      <c r="B70" s="187"/>
      <c r="C70" s="187"/>
      <c r="D70" s="187"/>
      <c r="E70" s="187"/>
      <c r="F70" s="187"/>
      <c r="G70" s="187"/>
      <c r="H70" s="187"/>
    </row>
  </sheetData>
  <mergeCells count="45">
    <mergeCell ref="A59:E59"/>
    <mergeCell ref="A60:B60"/>
    <mergeCell ref="A64:F64"/>
    <mergeCell ref="A53:B53"/>
    <mergeCell ref="A54:B54"/>
    <mergeCell ref="A55:B55"/>
    <mergeCell ref="A56:B56"/>
    <mergeCell ref="A57:E57"/>
    <mergeCell ref="A58:B58"/>
    <mergeCell ref="A52:B52"/>
    <mergeCell ref="A41:B41"/>
    <mergeCell ref="A42:B42"/>
    <mergeCell ref="A43:B43"/>
    <mergeCell ref="A44:B44"/>
    <mergeCell ref="A45:E45"/>
    <mergeCell ref="A46:B46"/>
    <mergeCell ref="A47:E47"/>
    <mergeCell ref="A48:E48"/>
    <mergeCell ref="A49:B49"/>
    <mergeCell ref="A50:B50"/>
    <mergeCell ref="A51:B51"/>
    <mergeCell ref="A40:B40"/>
    <mergeCell ref="A26:B26"/>
    <mergeCell ref="A27:B27"/>
    <mergeCell ref="A28:B28"/>
    <mergeCell ref="A29:B29"/>
    <mergeCell ref="A30:E30"/>
    <mergeCell ref="A31:B31"/>
    <mergeCell ref="A32:E32"/>
    <mergeCell ref="A33:E33"/>
    <mergeCell ref="A34:E34"/>
    <mergeCell ref="A38:E38"/>
    <mergeCell ref="A39:B39"/>
    <mergeCell ref="A25:B25"/>
    <mergeCell ref="A1:A2"/>
    <mergeCell ref="A10:E10"/>
    <mergeCell ref="A11:E11"/>
    <mergeCell ref="A12:B12"/>
    <mergeCell ref="A13:E13"/>
    <mergeCell ref="A14:E14"/>
    <mergeCell ref="A15:E15"/>
    <mergeCell ref="A21:E21"/>
    <mergeCell ref="A22:B22"/>
    <mergeCell ref="A23:B23"/>
    <mergeCell ref="A24:B24"/>
  </mergeCells>
  <hyperlinks>
    <hyperlink ref="B8" r:id="rId1" display="http://clicks.beap.bc.yahoo.com/yc/YnY9MS4wLjAmYnM9KDE3c2ZjbnVoYShnaWQkQ2VoSGh6WTVMakdCZUJ2Y1ZFVW1SUU1LTVRJNUxsUjNJVVhfX3d4WSxzdCQxNDE3MDkzNDQ1NzUzNDQ0LHNpJDQ0NTEwNTEsc3AkOTU5NDE0NDMsY3IkNDI3ODEyMDU1MSx2JDIuMCxhaWQkMHVWMmYyS0xGLlUtLGN0JDI1LHlieCRfcy4udjBkdlFvTHlIOV83Z2VKWDNnLGJpJDIxNDk3MjIwNTEsbW1lJDkwNzQ1MTIzNDkxMzcwNDg3OTcsbG5nJGVuLXVzLHIkMSxyZCQxNHF2OHAxODYseW9vJDEsYWdwJDMyODcyNzc1NTEsYXAkRkIyKSk/1/*https:/ad.wsod.com/click/577da7fee6e9ff57afc5f23882acdf54/60.0.img.120x60/1417093445.798791?yud=&amp;encver=$%7bENC_VERSION%7d&amp;encalgo=$%7bENC_ALGO%7d&amp;app=apt&amp;intf=1"/>
    <hyperlink ref="C8" r:id="rId2" display="http://clicks.beap.bc.yahoo.com/yc/YnY9MS4wLjAmYnM9KDE3c2hsbmFuYyhnaWQkQ2VoSGh6WTVMakdCZUJ2Y1ZFVW1SUU1LTVRJNUxsUjNJVVhfX3d4WSxzdCQxNDE3MDkzNDQ1NzUzNDQ0LHNpJDQ0NTEwNTEsc3AkOTU5NDE0NDMsY3IkNDI5MzE3ODA1MSx2JDIuMCxhaWQkaGVwMmYyS0xGLlUtLGN0JDI1LHlieCRfcy4udjBkdlFvTHlIOV83Z2VKWDNnLGJpJDIxNzgwODg1NTEsbW1lJDkxOTMzNDMzNTY3OTkxOTg0ODksbG5nJGVuLXVzLHIkMSxyZCQxNGJ0N29ncGIseW9vJDEsYWdwJDMzMzMzNTMwNTEsYXAkRkIyKSk/1/*https:/ad.wsod.com/click/8bec9b10877d5d7fd7c0fb6e6a631357/1542.0.img.120x60/?yud=&amp;encver=$%7bENC_VERSION%7d&amp;encalgo=$%7bENC_ALGO%7d&amp;app=apt&amp;intf=1"/>
    <hyperlink ref="A11" r:id="rId3" display="http://finance.yahoo.com/q/bs?s=MSFT"/>
    <hyperlink ref="A67" r:id="rId4" display="http://help.yahoo.com/l/us/yahoo/finance/quotes/fitadelay.html"/>
  </hyperlinks>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51"/>
  <sheetViews>
    <sheetView workbookViewId="0">
      <selection sqref="A1:XFD1048576"/>
    </sheetView>
  </sheetViews>
  <sheetFormatPr defaultColWidth="8.6640625" defaultRowHeight="14.4"/>
  <cols>
    <col min="1" max="1" width="80.88671875" customWidth="1"/>
    <col min="2" max="2" width="12.44140625" customWidth="1"/>
    <col min="3" max="5" width="10.44140625" customWidth="1"/>
    <col min="6" max="6" width="15.88671875" customWidth="1"/>
  </cols>
  <sheetData>
    <row r="1" spans="1:8">
      <c r="A1" s="258"/>
      <c r="B1" s="34" t="s">
        <v>78</v>
      </c>
      <c r="C1" s="187"/>
      <c r="D1" s="187"/>
      <c r="E1" s="187"/>
      <c r="F1" s="187"/>
      <c r="G1" s="187"/>
      <c r="H1" s="187"/>
    </row>
    <row r="2" spans="1:8">
      <c r="A2" s="258"/>
      <c r="B2" s="34" t="s">
        <v>79</v>
      </c>
      <c r="C2" s="187"/>
      <c r="D2" s="187"/>
      <c r="E2" s="187"/>
      <c r="F2" s="187"/>
      <c r="G2" s="187"/>
      <c r="H2" s="187"/>
    </row>
    <row r="3" spans="1:8">
      <c r="A3" s="187"/>
      <c r="B3" s="187"/>
      <c r="C3" s="187"/>
      <c r="D3" s="187"/>
      <c r="E3" s="187"/>
      <c r="F3" s="187"/>
      <c r="G3" s="187"/>
      <c r="H3" s="187"/>
    </row>
    <row r="4" spans="1:8">
      <c r="A4" s="186"/>
      <c r="B4" s="187"/>
      <c r="C4" s="187"/>
      <c r="D4" s="187"/>
      <c r="E4" s="187"/>
      <c r="F4" s="187"/>
      <c r="G4" s="187"/>
      <c r="H4" s="187"/>
    </row>
    <row r="5" spans="1:8">
      <c r="A5" s="187"/>
      <c r="B5" s="187"/>
      <c r="C5" s="187"/>
      <c r="D5" s="187"/>
      <c r="E5" s="187"/>
      <c r="F5" s="187"/>
      <c r="G5" s="187"/>
      <c r="H5" s="187"/>
    </row>
    <row r="6" spans="1:8">
      <c r="A6" s="186"/>
      <c r="B6" s="187"/>
      <c r="C6" s="187"/>
      <c r="D6" s="187"/>
      <c r="E6" s="187"/>
      <c r="F6" s="187"/>
      <c r="G6" s="187"/>
      <c r="H6" s="187"/>
    </row>
    <row r="7" spans="1:8">
      <c r="A7" s="187"/>
      <c r="B7" s="187"/>
      <c r="C7" s="187"/>
      <c r="D7" s="187"/>
      <c r="E7" s="187"/>
      <c r="F7" s="187"/>
      <c r="G7" s="187"/>
      <c r="H7" s="187"/>
    </row>
    <row r="8" spans="1:8">
      <c r="A8" s="188"/>
      <c r="B8" s="35"/>
      <c r="C8" s="188"/>
      <c r="D8" s="35"/>
      <c r="E8" s="187"/>
      <c r="F8" s="187"/>
      <c r="G8" s="187"/>
      <c r="H8" s="187"/>
    </row>
    <row r="9" spans="1:8">
      <c r="A9" s="187"/>
      <c r="B9" s="187"/>
      <c r="C9" s="187"/>
      <c r="D9" s="187"/>
      <c r="E9" s="187"/>
      <c r="F9" s="187"/>
      <c r="G9" s="187"/>
      <c r="H9" s="187"/>
    </row>
    <row r="10" spans="1:8" ht="16.2" thickBot="1">
      <c r="A10" s="260" t="s">
        <v>183</v>
      </c>
      <c r="B10" s="260"/>
      <c r="C10" s="260"/>
      <c r="D10" s="260"/>
      <c r="E10" s="260"/>
      <c r="F10" s="36" t="s">
        <v>184</v>
      </c>
      <c r="G10" s="187"/>
      <c r="H10" s="187"/>
    </row>
    <row r="11" spans="1:8" ht="15" customHeight="1">
      <c r="A11" s="261" t="s">
        <v>111</v>
      </c>
      <c r="B11" s="261"/>
      <c r="C11" s="261"/>
      <c r="D11" s="261"/>
      <c r="E11" s="261"/>
      <c r="F11" s="38" t="s">
        <v>112</v>
      </c>
      <c r="G11" s="187"/>
      <c r="H11" s="187"/>
    </row>
    <row r="12" spans="1:8">
      <c r="A12" s="262" t="s">
        <v>113</v>
      </c>
      <c r="B12" s="262"/>
      <c r="C12" s="157">
        <v>41820</v>
      </c>
      <c r="D12" s="157">
        <v>41455</v>
      </c>
      <c r="E12" s="157">
        <v>41090</v>
      </c>
      <c r="F12" s="187"/>
      <c r="G12" s="187"/>
      <c r="H12" s="187"/>
    </row>
    <row r="13" spans="1:8" ht="13.8" customHeight="1">
      <c r="A13" s="254" t="s">
        <v>135</v>
      </c>
      <c r="B13" s="254"/>
      <c r="C13" s="41">
        <v>22074000</v>
      </c>
      <c r="D13" s="41">
        <v>21863000</v>
      </c>
      <c r="E13" s="41">
        <v>16978000</v>
      </c>
      <c r="F13" s="187"/>
      <c r="G13" s="187"/>
      <c r="H13" s="187"/>
    </row>
    <row r="14" spans="1:8">
      <c r="A14" s="258"/>
      <c r="B14" s="258"/>
      <c r="C14" s="258"/>
      <c r="D14" s="258"/>
      <c r="E14" s="258"/>
      <c r="F14" s="187"/>
      <c r="G14" s="187"/>
      <c r="H14" s="187"/>
    </row>
    <row r="15" spans="1:8" ht="13.8" customHeight="1">
      <c r="A15" s="254" t="s">
        <v>185</v>
      </c>
      <c r="B15" s="254"/>
      <c r="C15" s="254"/>
      <c r="D15" s="254"/>
      <c r="E15" s="254"/>
      <c r="F15" s="187"/>
      <c r="G15" s="187"/>
      <c r="H15" s="187"/>
    </row>
    <row r="16" spans="1:8" ht="13.8" customHeight="1">
      <c r="A16" s="253" t="s">
        <v>28</v>
      </c>
      <c r="B16" s="253"/>
      <c r="C16" s="39">
        <v>5212000</v>
      </c>
      <c r="D16" s="39">
        <v>3755000</v>
      </c>
      <c r="E16" s="39">
        <v>2967000</v>
      </c>
      <c r="F16" s="187"/>
      <c r="G16" s="187"/>
      <c r="H16" s="187"/>
    </row>
    <row r="17" spans="1:8" ht="13.8" customHeight="1">
      <c r="A17" s="253" t="s">
        <v>186</v>
      </c>
      <c r="B17" s="253"/>
      <c r="C17" s="39">
        <v>4321000</v>
      </c>
      <c r="D17" s="39">
        <v>4590000</v>
      </c>
      <c r="E17" s="39">
        <v>11855000</v>
      </c>
      <c r="F17" s="187"/>
      <c r="G17" s="187"/>
      <c r="H17" s="187"/>
    </row>
    <row r="18" spans="1:8" ht="13.8" customHeight="1">
      <c r="A18" s="253" t="s">
        <v>187</v>
      </c>
      <c r="B18" s="253"/>
      <c r="C18" s="39">
        <v>-1120000</v>
      </c>
      <c r="D18" s="39">
        <v>-1807000</v>
      </c>
      <c r="E18" s="39">
        <v>-1156000</v>
      </c>
      <c r="F18" s="187"/>
      <c r="G18" s="187"/>
      <c r="H18" s="187"/>
    </row>
    <row r="19" spans="1:8" ht="13.8" customHeight="1">
      <c r="A19" s="253" t="s">
        <v>188</v>
      </c>
      <c r="B19" s="253"/>
      <c r="C19" s="39">
        <v>2562000</v>
      </c>
      <c r="D19" s="39">
        <v>1841000</v>
      </c>
      <c r="E19" s="39">
        <v>553000</v>
      </c>
      <c r="F19" s="187"/>
      <c r="G19" s="187"/>
      <c r="H19" s="187"/>
    </row>
    <row r="20" spans="1:8" ht="13.8" customHeight="1">
      <c r="A20" s="253" t="s">
        <v>189</v>
      </c>
      <c r="B20" s="253"/>
      <c r="C20" s="39">
        <v>-161000</v>
      </c>
      <c r="D20" s="39">
        <v>-802000</v>
      </c>
      <c r="E20" s="39">
        <v>184000</v>
      </c>
      <c r="F20" s="187"/>
      <c r="G20" s="187"/>
      <c r="H20" s="187"/>
    </row>
    <row r="21" spans="1:8" ht="15" thickBot="1">
      <c r="A21" s="255" t="s">
        <v>190</v>
      </c>
      <c r="B21" s="255"/>
      <c r="C21" s="39">
        <v>-657000</v>
      </c>
      <c r="D21" s="39">
        <v>-607000</v>
      </c>
      <c r="E21" s="39">
        <v>245000</v>
      </c>
      <c r="F21" s="187"/>
      <c r="G21" s="187"/>
      <c r="H21" s="187"/>
    </row>
    <row r="22" spans="1:8" ht="15" thickTop="1">
      <c r="A22" s="257"/>
      <c r="B22" s="257"/>
      <c r="C22" s="257"/>
      <c r="D22" s="257"/>
      <c r="E22" s="257"/>
      <c r="F22" s="187"/>
      <c r="G22" s="187"/>
      <c r="H22" s="187"/>
    </row>
    <row r="23" spans="1:8" ht="13.8" customHeight="1">
      <c r="A23" s="254" t="s">
        <v>191</v>
      </c>
      <c r="B23" s="254"/>
      <c r="C23" s="41">
        <v>32231000</v>
      </c>
      <c r="D23" s="41">
        <v>28833000</v>
      </c>
      <c r="E23" s="41">
        <v>31626000</v>
      </c>
      <c r="F23" s="187"/>
      <c r="G23" s="187"/>
      <c r="H23" s="187"/>
    </row>
    <row r="24" spans="1:8">
      <c r="A24" s="258"/>
      <c r="B24" s="258"/>
      <c r="C24" s="258"/>
      <c r="D24" s="258"/>
      <c r="E24" s="258"/>
      <c r="F24" s="187"/>
      <c r="G24" s="187"/>
      <c r="H24" s="187"/>
    </row>
    <row r="25" spans="1:8" ht="13.8" customHeight="1">
      <c r="A25" s="254" t="s">
        <v>192</v>
      </c>
      <c r="B25" s="254"/>
      <c r="C25" s="254"/>
      <c r="D25" s="254"/>
      <c r="E25" s="254"/>
      <c r="F25" s="187"/>
      <c r="G25" s="187"/>
      <c r="H25" s="187"/>
    </row>
    <row r="26" spans="1:8" ht="13.8" customHeight="1">
      <c r="A26" s="253" t="s">
        <v>29</v>
      </c>
      <c r="B26" s="253"/>
      <c r="C26" s="39">
        <v>-5485000</v>
      </c>
      <c r="D26" s="39">
        <v>-4257000</v>
      </c>
      <c r="E26" s="39">
        <v>-2305000</v>
      </c>
      <c r="F26" s="187"/>
      <c r="G26" s="187"/>
      <c r="H26" s="187"/>
    </row>
    <row r="27" spans="1:8" ht="13.8" customHeight="1">
      <c r="A27" s="253" t="s">
        <v>193</v>
      </c>
      <c r="B27" s="253"/>
      <c r="C27" s="39">
        <v>-7324000</v>
      </c>
      <c r="D27" s="39">
        <v>-17802000</v>
      </c>
      <c r="E27" s="39">
        <v>-11975000</v>
      </c>
      <c r="F27" s="187"/>
      <c r="G27" s="187"/>
      <c r="H27" s="187"/>
    </row>
    <row r="28" spans="1:8" ht="15" thickBot="1">
      <c r="A28" s="255" t="s">
        <v>194</v>
      </c>
      <c r="B28" s="255"/>
      <c r="C28" s="39">
        <v>-6024000</v>
      </c>
      <c r="D28" s="39">
        <v>-1752000</v>
      </c>
      <c r="E28" s="39">
        <v>-10506000</v>
      </c>
      <c r="F28" s="187"/>
      <c r="G28" s="187"/>
      <c r="H28" s="187"/>
    </row>
    <row r="29" spans="1:8" ht="15" thickTop="1">
      <c r="A29" s="257"/>
      <c r="B29" s="257"/>
      <c r="C29" s="257"/>
      <c r="D29" s="257"/>
      <c r="E29" s="257"/>
      <c r="F29" s="187"/>
      <c r="G29" s="187"/>
      <c r="H29" s="187"/>
    </row>
    <row r="30" spans="1:8" ht="13.8" customHeight="1">
      <c r="A30" s="254" t="s">
        <v>195</v>
      </c>
      <c r="B30" s="254"/>
      <c r="C30" s="41">
        <v>-18833000</v>
      </c>
      <c r="D30" s="41">
        <v>-23811000</v>
      </c>
      <c r="E30" s="41">
        <v>-24786000</v>
      </c>
      <c r="F30" s="187"/>
      <c r="G30" s="187"/>
      <c r="H30" s="187"/>
    </row>
    <row r="31" spans="1:8">
      <c r="A31" s="258"/>
      <c r="B31" s="258"/>
      <c r="C31" s="258"/>
      <c r="D31" s="258"/>
      <c r="E31" s="258"/>
      <c r="F31" s="187"/>
      <c r="G31" s="187"/>
      <c r="H31" s="187"/>
    </row>
    <row r="32" spans="1:8" ht="13.8" customHeight="1">
      <c r="A32" s="254" t="s">
        <v>196</v>
      </c>
      <c r="B32" s="254"/>
      <c r="C32" s="254"/>
      <c r="D32" s="254"/>
      <c r="E32" s="254"/>
      <c r="F32" s="187"/>
      <c r="G32" s="187"/>
      <c r="H32" s="187"/>
    </row>
    <row r="33" spans="1:8" ht="13.8" customHeight="1">
      <c r="A33" s="253" t="s">
        <v>197</v>
      </c>
      <c r="B33" s="253"/>
      <c r="C33" s="39">
        <v>-8879000</v>
      </c>
      <c r="D33" s="39">
        <v>-7455000</v>
      </c>
      <c r="E33" s="39">
        <v>-6385000</v>
      </c>
      <c r="F33" s="187"/>
      <c r="G33" s="187"/>
      <c r="H33" s="187"/>
    </row>
    <row r="34" spans="1:8" ht="13.8" customHeight="1">
      <c r="A34" s="253" t="s">
        <v>198</v>
      </c>
      <c r="B34" s="253"/>
      <c r="C34" s="39">
        <v>-6709000</v>
      </c>
      <c r="D34" s="39">
        <v>-4429000</v>
      </c>
      <c r="E34" s="39">
        <v>-3116000</v>
      </c>
      <c r="F34" s="187"/>
      <c r="G34" s="187"/>
      <c r="H34" s="187"/>
    </row>
    <row r="35" spans="1:8" ht="13.8" customHeight="1">
      <c r="A35" s="253" t="s">
        <v>199</v>
      </c>
      <c r="B35" s="253"/>
      <c r="C35" s="39">
        <v>6962000</v>
      </c>
      <c r="D35" s="39">
        <v>3537000</v>
      </c>
      <c r="E35" s="40" t="s">
        <v>119</v>
      </c>
      <c r="F35" s="187"/>
      <c r="G35" s="187"/>
      <c r="H35" s="187"/>
    </row>
    <row r="36" spans="1:8" ht="15" thickBot="1">
      <c r="A36" s="255" t="s">
        <v>200</v>
      </c>
      <c r="B36" s="255"/>
      <c r="C36" s="39">
        <v>-39000</v>
      </c>
      <c r="D36" s="39">
        <v>-10000</v>
      </c>
      <c r="E36" s="40" t="s">
        <v>119</v>
      </c>
      <c r="F36" s="187"/>
      <c r="G36" s="187"/>
      <c r="H36" s="187"/>
    </row>
    <row r="37" spans="1:8" ht="15" thickTop="1">
      <c r="A37" s="257"/>
      <c r="B37" s="257"/>
      <c r="C37" s="257"/>
      <c r="D37" s="257"/>
      <c r="E37" s="257"/>
      <c r="F37" s="187"/>
      <c r="G37" s="187"/>
      <c r="H37" s="187"/>
    </row>
    <row r="38" spans="1:8" ht="13.8" customHeight="1">
      <c r="A38" s="254" t="s">
        <v>201</v>
      </c>
      <c r="B38" s="254"/>
      <c r="C38" s="41">
        <v>-8394000</v>
      </c>
      <c r="D38" s="41">
        <v>-8148000</v>
      </c>
      <c r="E38" s="41">
        <v>-9408000</v>
      </c>
      <c r="F38" s="187"/>
      <c r="G38" s="187"/>
      <c r="H38" s="187"/>
    </row>
    <row r="39" spans="1:8" ht="15" thickBot="1">
      <c r="A39" s="255" t="s">
        <v>202</v>
      </c>
      <c r="B39" s="255"/>
      <c r="C39" s="39">
        <v>-139000</v>
      </c>
      <c r="D39" s="39">
        <v>-8000</v>
      </c>
      <c r="E39" s="39">
        <v>-104000</v>
      </c>
      <c r="F39" s="187"/>
      <c r="G39" s="187"/>
      <c r="H39" s="187"/>
    </row>
    <row r="40" spans="1:8" ht="15" thickTop="1">
      <c r="A40" s="257"/>
      <c r="B40" s="257"/>
      <c r="C40" s="257"/>
      <c r="D40" s="257"/>
      <c r="E40" s="257"/>
      <c r="F40" s="187"/>
      <c r="G40" s="187"/>
      <c r="H40" s="187"/>
    </row>
    <row r="41" spans="1:8" ht="13.8" customHeight="1">
      <c r="A41" s="254" t="s">
        <v>203</v>
      </c>
      <c r="B41" s="254"/>
      <c r="C41" s="41">
        <v>4865000</v>
      </c>
      <c r="D41" s="41">
        <v>-3134000</v>
      </c>
      <c r="E41" s="41">
        <v>-2672000</v>
      </c>
      <c r="F41" s="187"/>
      <c r="G41" s="187"/>
      <c r="H41" s="187"/>
    </row>
    <row r="42" spans="1:8">
      <c r="A42" s="42" t="s">
        <v>138</v>
      </c>
      <c r="B42" s="187"/>
      <c r="C42" s="187"/>
      <c r="D42" s="187"/>
      <c r="E42" s="187"/>
      <c r="F42" s="187"/>
      <c r="G42" s="187"/>
      <c r="H42" s="187"/>
    </row>
    <row r="43" spans="1:8">
      <c r="A43" s="43" t="s">
        <v>139</v>
      </c>
      <c r="B43" s="187"/>
      <c r="C43" s="187"/>
      <c r="D43" s="187"/>
      <c r="E43" s="187"/>
      <c r="F43" s="187"/>
      <c r="G43" s="187"/>
      <c r="H43" s="187"/>
    </row>
    <row r="44" spans="1:8">
      <c r="A44" s="43" t="s">
        <v>140</v>
      </c>
      <c r="B44" s="187"/>
      <c r="C44" s="187"/>
      <c r="D44" s="187"/>
      <c r="E44" s="187"/>
      <c r="F44" s="187"/>
      <c r="G44" s="187"/>
      <c r="H44" s="187"/>
    </row>
    <row r="45" spans="1:8" ht="13.8" customHeight="1">
      <c r="A45" s="253" t="s">
        <v>141</v>
      </c>
      <c r="B45" s="253"/>
      <c r="C45" s="253"/>
      <c r="D45" s="253"/>
      <c r="E45" s="253"/>
      <c r="F45" s="253"/>
      <c r="G45" s="187"/>
      <c r="H45" s="187"/>
    </row>
    <row r="46" spans="1:8">
      <c r="A46" s="187"/>
      <c r="B46" s="187"/>
      <c r="C46" s="187"/>
      <c r="D46" s="187"/>
      <c r="E46" s="187"/>
      <c r="F46" s="187"/>
      <c r="G46" s="187"/>
      <c r="H46" s="187"/>
    </row>
    <row r="47" spans="1:8">
      <c r="A47" s="173" t="s">
        <v>142</v>
      </c>
      <c r="B47" s="187"/>
      <c r="C47" s="187"/>
      <c r="D47" s="187"/>
      <c r="E47" s="187"/>
      <c r="F47" s="187"/>
      <c r="G47" s="187"/>
      <c r="H47" s="187"/>
    </row>
    <row r="48" spans="1:8" ht="86.4">
      <c r="A48" s="37" t="s">
        <v>143</v>
      </c>
      <c r="B48" s="187"/>
      <c r="C48" s="187"/>
      <c r="D48" s="187"/>
      <c r="E48" s="187"/>
      <c r="F48" s="187"/>
      <c r="G48" s="187"/>
      <c r="H48" s="187"/>
    </row>
    <row r="49" spans="1:8">
      <c r="A49" s="186"/>
      <c r="B49" s="187"/>
      <c r="C49" s="187"/>
      <c r="D49" s="187"/>
      <c r="E49" s="187"/>
      <c r="F49" s="187"/>
      <c r="G49" s="187"/>
      <c r="H49" s="187"/>
    </row>
    <row r="50" spans="1:8">
      <c r="A50" s="185" t="s">
        <v>144</v>
      </c>
      <c r="B50" s="187"/>
      <c r="C50" s="187"/>
      <c r="D50" s="187"/>
      <c r="E50" s="187"/>
      <c r="F50" s="187"/>
      <c r="G50" s="187"/>
      <c r="H50" s="187"/>
    </row>
    <row r="51" spans="1:8">
      <c r="A51" s="186"/>
      <c r="B51" s="187"/>
      <c r="C51" s="187"/>
      <c r="D51" s="187"/>
      <c r="E51" s="187"/>
      <c r="F51" s="187"/>
      <c r="G51" s="187"/>
      <c r="H51" s="187"/>
    </row>
  </sheetData>
  <mergeCells count="34">
    <mergeCell ref="A39:B39"/>
    <mergeCell ref="A40:E40"/>
    <mergeCell ref="A41:B41"/>
    <mergeCell ref="A45:F45"/>
    <mergeCell ref="A33:B33"/>
    <mergeCell ref="A34:B34"/>
    <mergeCell ref="A35:B35"/>
    <mergeCell ref="A36:B36"/>
    <mergeCell ref="A37:E37"/>
    <mergeCell ref="A38:B38"/>
    <mergeCell ref="A32:E32"/>
    <mergeCell ref="A21:B21"/>
    <mergeCell ref="A22:E22"/>
    <mergeCell ref="A23:B23"/>
    <mergeCell ref="A24:E24"/>
    <mergeCell ref="A25:E25"/>
    <mergeCell ref="A26:B26"/>
    <mergeCell ref="A27:B27"/>
    <mergeCell ref="A28:B28"/>
    <mergeCell ref="A29:E29"/>
    <mergeCell ref="A30:B30"/>
    <mergeCell ref="A31:E31"/>
    <mergeCell ref="A20:B20"/>
    <mergeCell ref="A1:A2"/>
    <mergeCell ref="A10:E10"/>
    <mergeCell ref="A11:E11"/>
    <mergeCell ref="A12:B12"/>
    <mergeCell ref="A13:B13"/>
    <mergeCell ref="A14:E14"/>
    <mergeCell ref="A15:E15"/>
    <mergeCell ref="A16:B16"/>
    <mergeCell ref="A17:B17"/>
    <mergeCell ref="A18:B18"/>
    <mergeCell ref="A19:B19"/>
  </mergeCells>
  <hyperlinks>
    <hyperlink ref="B8" r:id="rId1" display="http://clicks.beap.bc.yahoo.com/yc/YnY9MS4wLjAmYnM9KDE3c3YzdWR0dShnaWQkakk3a1ZUWTVMakdCZUJ2Y1ZFVW1SUVBSTVRJNUxsUjNJVWJfX3d2TSxzdCQxNDE3MDkzNDQ2NDcyNTM4LHNpJDQ0NTEwNTEsc3AkOTU5NDE0NTcsY3IkNDI5MzE3ODA1MSx2JDIuMCxhaWQkLlozVjBHS0w0SXctLGN0JDI1LHlieCRhUi5TLllmcFJlSmJxYk90enNjWmNnLGJpJDIxNzgwODg1NTEsbW1lJDkxOTMzNDMzNTY3OTkxOTg0ODksbG5nJGVuLXVzLHIkMSxyZCQxNGJ0N29ncGIseW9vJDEsYWdwJDMzMzMzNTMwNTEsYXAkRkIyKSk/1/*https:/ad.wsod.com/click/8bec9b10877d5d7fd7c0fb6e6a631357/1542.0.img.120x60/?yud=&amp;encver=$%7bENC_VERSION%7d&amp;encalgo=$%7bENC_ALGO%7d&amp;app=apt&amp;intf=1"/>
    <hyperlink ref="D8" r:id="rId2" display="http://clicks.beap.bc.yahoo.com/yc/YnY9MS4wLjAmYnM9KDE3czRnNDBrcShnaWQkakk3a1ZUWTVMakdCZUJ2Y1ZFVW1SUVBSTVRJNUxsUjNJVWJfX3d2TSxzdCQxNDE3MDkzNDQ2NDcyNTM4LHNpJDQ0NTEwNTEsc3AkOTU5NDE0NTcsY3IkNDI3ODEyMDU1MSx2JDIuMCxhaWQkNjR2VzBHS0w0SXctLGN0JDI1LHlieCRhUi5TLllmcFJlSmJxYk90enNjWmNnLGJpJDIxNDk3MjIwNTEsbW1lJDkwNzQ1MTIzNDkxMzcwNDg3OTcsbG5nJGVuLXVzLHIkMSxyZCQxNHEzbThwZWQseW9vJDEsYWdwJDMyODcyNzc1NTEsYXAkRkIyKSk/1/*https:/ad.wsod.com/click/577da7fee6e9ff57afc5f23882acdf54/60.0.img.120x60/1417093446.507864?yud=&amp;encver=$%7bENC_VERSION%7d&amp;encalgo=$%7bENC_ALGO%7d&amp;app=apt&amp;intf=1"/>
    <hyperlink ref="A11" r:id="rId3" display="http://finance.yahoo.com/q/cf?s=MSFT"/>
    <hyperlink ref="A48" r:id="rId4" display="http://help.yahoo.com/l/us/yahoo/finance/quotes/fitadelay.html"/>
  </hyperlinks>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28"/>
  <sheetViews>
    <sheetView workbookViewId="0">
      <selection activeCell="E2" sqref="E2"/>
    </sheetView>
  </sheetViews>
  <sheetFormatPr defaultColWidth="11.5546875" defaultRowHeight="14.4"/>
  <cols>
    <col min="1" max="1" width="80.88671875" customWidth="1"/>
    <col min="2" max="2" width="15.109375" customWidth="1"/>
    <col min="3" max="3" width="9.44140625" customWidth="1"/>
    <col min="4" max="4" width="9.77734375" customWidth="1"/>
    <col min="5" max="5" width="10.44140625" customWidth="1"/>
  </cols>
  <sheetData>
    <row r="1" spans="1:5">
      <c r="A1" s="264"/>
      <c r="B1" s="162" t="s">
        <v>78</v>
      </c>
      <c r="C1" s="187"/>
      <c r="D1" s="187"/>
      <c r="E1" s="187"/>
    </row>
    <row r="2" spans="1:5">
      <c r="A2" s="264"/>
      <c r="B2" s="162" t="s">
        <v>79</v>
      </c>
      <c r="C2" s="187"/>
      <c r="D2" s="187"/>
      <c r="E2" s="187"/>
    </row>
    <row r="3" spans="1:5">
      <c r="A3" s="187"/>
      <c r="B3" s="187"/>
      <c r="C3" s="187"/>
      <c r="D3" s="187"/>
      <c r="E3" s="187"/>
    </row>
    <row r="4" spans="1:5">
      <c r="A4" s="265" t="s">
        <v>278</v>
      </c>
      <c r="B4" s="266"/>
      <c r="C4" s="266"/>
      <c r="D4" s="266"/>
      <c r="E4" s="266"/>
    </row>
    <row r="5" spans="1:5" ht="15" thickBot="1">
      <c r="A5" s="163" t="s">
        <v>279</v>
      </c>
      <c r="B5" s="164" t="s">
        <v>280</v>
      </c>
      <c r="C5" s="164" t="s">
        <v>281</v>
      </c>
      <c r="D5" s="164" t="s">
        <v>282</v>
      </c>
      <c r="E5" s="164" t="s">
        <v>283</v>
      </c>
    </row>
    <row r="6" spans="1:5" ht="15" thickBot="1">
      <c r="A6" s="165" t="s">
        <v>284</v>
      </c>
      <c r="B6" s="166">
        <v>0.01</v>
      </c>
      <c r="C6" s="166">
        <v>0</v>
      </c>
      <c r="D6" s="166">
        <v>0</v>
      </c>
      <c r="E6" s="166">
        <v>0.01</v>
      </c>
    </row>
    <row r="7" spans="1:5" ht="15" thickBot="1">
      <c r="A7" s="167" t="s">
        <v>285</v>
      </c>
      <c r="B7" s="168">
        <v>0.05</v>
      </c>
      <c r="C7" s="168">
        <v>0.06</v>
      </c>
      <c r="D7" s="168">
        <v>0.06</v>
      </c>
      <c r="E7" s="168">
        <v>0.05</v>
      </c>
    </row>
    <row r="8" spans="1:5" ht="15" thickBot="1">
      <c r="A8" s="165" t="s">
        <v>286</v>
      </c>
      <c r="B8" s="166">
        <v>0.47</v>
      </c>
      <c r="C8" s="166">
        <v>0.49</v>
      </c>
      <c r="D8" s="166">
        <v>0.52</v>
      </c>
      <c r="E8" s="166">
        <v>0.37</v>
      </c>
    </row>
    <row r="9" spans="1:5" ht="15" thickBot="1">
      <c r="A9" s="167" t="s">
        <v>287</v>
      </c>
      <c r="B9" s="168">
        <v>0.91</v>
      </c>
      <c r="C9" s="168">
        <v>0.92</v>
      </c>
      <c r="D9" s="168">
        <v>0.97</v>
      </c>
      <c r="E9" s="168">
        <v>0.8</v>
      </c>
    </row>
    <row r="10" spans="1:5" ht="15" thickBot="1">
      <c r="A10" s="165" t="s">
        <v>288</v>
      </c>
      <c r="B10" s="166">
        <v>1.55</v>
      </c>
      <c r="C10" s="166">
        <v>1.57</v>
      </c>
      <c r="D10" s="166">
        <v>1.64</v>
      </c>
      <c r="E10" s="166">
        <v>1.49</v>
      </c>
    </row>
    <row r="11" spans="1:5" ht="15" thickBot="1">
      <c r="A11" s="167" t="s">
        <v>289</v>
      </c>
      <c r="B11" s="168">
        <v>2.2400000000000002</v>
      </c>
      <c r="C11" s="168">
        <v>2.2599999999999998</v>
      </c>
      <c r="D11" s="168">
        <v>2.36</v>
      </c>
      <c r="E11" s="168">
        <v>2.2599999999999998</v>
      </c>
    </row>
    <row r="12" spans="1:5" ht="15" thickBot="1">
      <c r="A12" s="165" t="s">
        <v>290</v>
      </c>
      <c r="B12" s="166">
        <v>2.95</v>
      </c>
      <c r="C12" s="166">
        <v>2.96</v>
      </c>
      <c r="D12" s="166">
        <v>3.08</v>
      </c>
      <c r="E12" s="166">
        <v>3.04</v>
      </c>
    </row>
    <row r="13" spans="1:5">
      <c r="A13" s="187"/>
      <c r="B13" s="187"/>
      <c r="C13" s="187"/>
      <c r="D13" s="187"/>
      <c r="E13" s="187"/>
    </row>
    <row r="14" spans="1:5" ht="16.2">
      <c r="A14" s="207" t="s">
        <v>307</v>
      </c>
      <c r="B14" s="206"/>
      <c r="C14" s="187"/>
      <c r="D14" s="187"/>
      <c r="E14" s="187"/>
    </row>
    <row r="15" spans="1:5">
      <c r="A15" s="208" t="s">
        <v>343</v>
      </c>
      <c r="B15" s="206"/>
      <c r="C15" s="187"/>
      <c r="D15" s="187"/>
      <c r="E15" s="187"/>
    </row>
    <row r="16" spans="1:5">
      <c r="A16" s="209" t="s">
        <v>344</v>
      </c>
      <c r="B16" s="206"/>
      <c r="C16" s="187"/>
      <c r="D16" s="187"/>
      <c r="E16" s="187"/>
    </row>
    <row r="17" spans="1:5">
      <c r="A17" s="210" t="s">
        <v>308</v>
      </c>
      <c r="B17" s="206"/>
      <c r="C17" s="187"/>
      <c r="D17" s="187"/>
      <c r="E17" s="187"/>
    </row>
    <row r="18" spans="1:5">
      <c r="A18" s="208" t="s">
        <v>345</v>
      </c>
      <c r="B18" s="206"/>
      <c r="C18" s="187"/>
      <c r="D18" s="187"/>
      <c r="E18" s="187"/>
    </row>
    <row r="19" spans="1:5">
      <c r="A19" s="209" t="s">
        <v>346</v>
      </c>
      <c r="B19" s="206"/>
      <c r="C19" s="187"/>
      <c r="D19" s="187"/>
      <c r="E19" s="187"/>
    </row>
    <row r="20" spans="1:5">
      <c r="A20" s="210" t="s">
        <v>312</v>
      </c>
      <c r="B20" s="206"/>
      <c r="C20" s="187"/>
      <c r="D20" s="187"/>
      <c r="E20" s="187"/>
    </row>
    <row r="21" spans="1:5">
      <c r="A21" s="208" t="s">
        <v>309</v>
      </c>
      <c r="B21" s="206"/>
      <c r="C21" s="187"/>
      <c r="D21" s="187"/>
      <c r="E21" s="187"/>
    </row>
    <row r="22" spans="1:5">
      <c r="A22" s="209" t="s">
        <v>310</v>
      </c>
      <c r="B22" s="206"/>
      <c r="C22" s="187"/>
      <c r="D22" s="187"/>
      <c r="E22" s="187"/>
    </row>
    <row r="23" spans="1:5">
      <c r="A23" s="210" t="s">
        <v>311</v>
      </c>
      <c r="B23" s="206"/>
      <c r="C23" s="187"/>
      <c r="D23" s="187"/>
      <c r="E23" s="187"/>
    </row>
    <row r="24" spans="1:5">
      <c r="A24" s="211" t="s">
        <v>313</v>
      </c>
      <c r="B24" s="206"/>
      <c r="C24" s="187"/>
      <c r="D24" s="187"/>
      <c r="E24" s="187"/>
    </row>
    <row r="25" spans="1:5">
      <c r="A25" s="187"/>
      <c r="B25" s="187"/>
      <c r="C25" s="187"/>
      <c r="D25" s="187"/>
      <c r="E25" s="187"/>
    </row>
    <row r="26" spans="1:5">
      <c r="A26" s="169" t="s">
        <v>142</v>
      </c>
      <c r="B26" s="187"/>
      <c r="C26" s="187"/>
      <c r="D26" s="187"/>
      <c r="E26" s="187"/>
    </row>
    <row r="27" spans="1:5" ht="86.4">
      <c r="A27" s="37" t="s">
        <v>143</v>
      </c>
      <c r="B27" s="187"/>
      <c r="C27" s="187"/>
      <c r="D27" s="187"/>
      <c r="E27" s="187"/>
    </row>
    <row r="28" spans="1:5" ht="55.2">
      <c r="A28" s="170" t="s">
        <v>291</v>
      </c>
      <c r="B28" s="187"/>
      <c r="C28" s="187"/>
      <c r="D28" s="187"/>
      <c r="E28" s="187"/>
    </row>
  </sheetData>
  <dataConsolidate/>
  <mergeCells count="2">
    <mergeCell ref="A1:A2"/>
    <mergeCell ref="A4:E4"/>
  </mergeCells>
  <hyperlinks>
    <hyperlink ref="A15" r:id="rId1" display="http://5553.r.msn.com/?ld=b29RsWmvdAIx8nh6-YuqppaTVUCUzOCXAZwzl0HFY9I913wleLNF_fIZ5PU8IkL4VZ_59FVjnEkwaWCbpiCCWIuFGpao-qVY-j5hBToE1A0dl6F5d9LsxddhECw5YdHbm3zSI6IQ&amp;u=www.lawdepot.ca%2fcontracts%2fincorporation-package-ontario%2f%3floc%3dCA%26pid%3dmsnppc-ontcor_caon-generic_a3-msnkey_stock+certificates%26utm_source%3dbing%26utm_medium%3dcpc"/>
    <hyperlink ref="A18" r:id="rId2" display="http://3312915.r.msn.com/?ld=b2PMN1jVbBFKw1d4F90Nu6YzVUCUyrwBUarXVw89Xxqx0DQkIdD7thChXpMAj2imzt50twUyBIKcBv-Re7MBhoCTsJA2XrNPeDCHZZgR66qfulH7Jnm3k6RP4X5c9BmDBrQ56lkQ&amp;u=statsgt3.com%2fbase.php%3fc%3d231%26key%3d1a4869f4dac93b658aa2016f911d2c28%26keyword%3danti+aging+vitamins%26ad%3d3"/>
    <hyperlink ref="A21" r:id="rId3" display="http://162307.r.msn.com/?ld=b2aP53-nEQFh7k3Ta-csztxTVUCUzYOLkWxfJPP5tME0k0WQt22sBFgAtJAnQ4p4I9Vq1UVm99gcSBSs9H-1JYU-Pd40mu99BBWWXXdBBpeKsNknQtc9OI5iUhew_p5S-vqHu8dQ&amp;u=www.lumosity.com%2flanding%3frefer%3d9740%26ll_ad_id%3d1662%26Device%3d%7bDevice%7d%26Query%3d"/>
    <hyperlink ref="A24" r:id="rId4" display="http://help.yahoo.com/help/fin/fnews/fnews-14.html"/>
    <hyperlink ref="A27" r:id="rId5" display="http://help.yahoo.com/l/us/yahoo/finance/quotes/fitadelay.html"/>
  </hyperlinks>
  <pageMargins left="0.75" right="0.75" top="1" bottom="1" header="0.5" footer="0.5"/>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74"/>
  <sheetViews>
    <sheetView workbookViewId="0">
      <selection sqref="A1:XFD1048576"/>
    </sheetView>
  </sheetViews>
  <sheetFormatPr defaultColWidth="11.5546875" defaultRowHeight="14.4"/>
  <cols>
    <col min="1" max="1" width="80.88671875" customWidth="1"/>
    <col min="2" max="2" width="12.44140625" customWidth="1"/>
    <col min="3" max="3" width="16" customWidth="1"/>
    <col min="4" max="4" width="6.109375" customWidth="1"/>
    <col min="5" max="5" width="31" customWidth="1"/>
    <col min="6" max="6" width="9.88671875" customWidth="1"/>
  </cols>
  <sheetData>
    <row r="1" spans="1:7">
      <c r="A1" s="258"/>
      <c r="B1" s="34" t="s">
        <v>78</v>
      </c>
      <c r="C1" s="187"/>
      <c r="D1" s="187"/>
      <c r="E1" s="187"/>
      <c r="F1" s="187"/>
      <c r="G1" s="187"/>
    </row>
    <row r="2" spans="1:7">
      <c r="A2" s="258"/>
      <c r="B2" s="34" t="s">
        <v>79</v>
      </c>
      <c r="C2" s="187"/>
      <c r="D2" s="187"/>
      <c r="E2" s="187"/>
      <c r="F2" s="187"/>
      <c r="G2" s="187"/>
    </row>
    <row r="3" spans="1:7">
      <c r="A3" s="187"/>
      <c r="B3" s="187"/>
      <c r="C3" s="187"/>
      <c r="D3" s="187"/>
      <c r="E3" s="187"/>
      <c r="F3" s="187"/>
      <c r="G3" s="187"/>
    </row>
    <row r="4" spans="1:7">
      <c r="A4" s="186"/>
      <c r="B4" s="187"/>
      <c r="C4" s="187"/>
      <c r="D4" s="187"/>
      <c r="E4" s="187"/>
      <c r="F4" s="187"/>
      <c r="G4" s="187"/>
    </row>
    <row r="5" spans="1:7">
      <c r="A5" s="187"/>
      <c r="B5" s="187"/>
      <c r="C5" s="187"/>
      <c r="D5" s="187"/>
      <c r="E5" s="187"/>
      <c r="F5" s="187"/>
      <c r="G5" s="187"/>
    </row>
    <row r="6" spans="1:7">
      <c r="A6" s="186"/>
      <c r="B6" s="187"/>
      <c r="C6" s="187"/>
      <c r="D6" s="187"/>
      <c r="E6" s="187"/>
      <c r="F6" s="187"/>
      <c r="G6" s="187"/>
    </row>
    <row r="7" spans="1:7">
      <c r="A7" s="187"/>
      <c r="B7" s="187"/>
      <c r="C7" s="187"/>
      <c r="D7" s="187"/>
      <c r="E7" s="187"/>
      <c r="F7" s="187"/>
      <c r="G7" s="187"/>
    </row>
    <row r="8" spans="1:7">
      <c r="A8" s="35"/>
      <c r="B8" s="188"/>
      <c r="C8" s="188"/>
      <c r="D8" s="35"/>
      <c r="E8" s="187"/>
      <c r="F8" s="187"/>
      <c r="G8" s="187"/>
    </row>
    <row r="9" spans="1:7">
      <c r="A9" s="187"/>
      <c r="B9" s="187"/>
      <c r="C9" s="187"/>
      <c r="D9" s="187"/>
      <c r="E9" s="187"/>
      <c r="F9" s="187"/>
      <c r="G9" s="187"/>
    </row>
    <row r="10" spans="1:7" ht="16.2" thickBot="1">
      <c r="A10" s="260" t="s">
        <v>204</v>
      </c>
      <c r="B10" s="260"/>
      <c r="C10" s="36" t="s">
        <v>205</v>
      </c>
      <c r="D10" s="187"/>
      <c r="E10" s="187"/>
      <c r="F10" s="187"/>
      <c r="G10" s="187"/>
    </row>
    <row r="11" spans="1:7" ht="15" customHeight="1">
      <c r="A11" s="261" t="s">
        <v>206</v>
      </c>
      <c r="B11" s="261"/>
      <c r="C11" s="261"/>
      <c r="D11" s="258"/>
      <c r="E11" s="269" t="s">
        <v>244</v>
      </c>
      <c r="F11" s="269"/>
      <c r="G11" s="45"/>
    </row>
    <row r="12" spans="1:7" ht="13.8" customHeight="1">
      <c r="A12" s="269" t="s">
        <v>207</v>
      </c>
      <c r="B12" s="269"/>
      <c r="C12" s="45"/>
      <c r="D12" s="258"/>
      <c r="E12" s="268" t="s">
        <v>245</v>
      </c>
      <c r="F12" s="268"/>
      <c r="G12" s="187"/>
    </row>
    <row r="13" spans="1:7">
      <c r="A13" s="185" t="s">
        <v>208</v>
      </c>
      <c r="B13" s="185" t="s">
        <v>319</v>
      </c>
      <c r="C13" s="187"/>
      <c r="D13" s="258"/>
      <c r="E13" s="185" t="s">
        <v>85</v>
      </c>
      <c r="F13" s="185">
        <v>0.73</v>
      </c>
      <c r="G13" s="187"/>
    </row>
    <row r="14" spans="1:7">
      <c r="A14" s="185" t="s">
        <v>303</v>
      </c>
      <c r="B14" s="185" t="s">
        <v>326</v>
      </c>
      <c r="C14" s="187"/>
      <c r="D14" s="258"/>
      <c r="E14" s="185" t="s">
        <v>246</v>
      </c>
      <c r="F14" s="160">
        <v>0.25230000000000002</v>
      </c>
      <c r="G14" s="187"/>
    </row>
    <row r="15" spans="1:7">
      <c r="A15" s="185" t="s">
        <v>209</v>
      </c>
      <c r="B15" s="185">
        <v>18.72</v>
      </c>
      <c r="C15" s="187"/>
      <c r="D15" s="258"/>
      <c r="E15" s="185" t="s">
        <v>247</v>
      </c>
      <c r="F15" s="160">
        <v>0.1479</v>
      </c>
      <c r="G15" s="187"/>
    </row>
    <row r="16" spans="1:7">
      <c r="A16" s="185" t="s">
        <v>327</v>
      </c>
      <c r="B16" s="185">
        <v>15.21</v>
      </c>
      <c r="C16" s="187"/>
      <c r="D16" s="258"/>
      <c r="E16" s="185" t="s">
        <v>336</v>
      </c>
      <c r="F16" s="185">
        <v>50.05</v>
      </c>
      <c r="G16" s="187"/>
    </row>
    <row r="17" spans="1:7">
      <c r="A17" s="185" t="s">
        <v>210</v>
      </c>
      <c r="B17" s="185">
        <v>2.73</v>
      </c>
      <c r="C17" s="187"/>
      <c r="D17" s="258"/>
      <c r="E17" s="185" t="s">
        <v>337</v>
      </c>
      <c r="F17" s="185">
        <v>34.630000000000003</v>
      </c>
      <c r="G17" s="187"/>
    </row>
    <row r="18" spans="1:7">
      <c r="A18" s="185" t="s">
        <v>211</v>
      </c>
      <c r="B18" s="185">
        <v>4.28</v>
      </c>
      <c r="C18" s="187"/>
      <c r="D18" s="258"/>
      <c r="E18" s="185" t="s">
        <v>248</v>
      </c>
      <c r="F18" s="185">
        <v>46.72</v>
      </c>
      <c r="G18" s="187"/>
    </row>
    <row r="19" spans="1:7">
      <c r="A19" s="185" t="s">
        <v>212</v>
      </c>
      <c r="B19" s="185">
        <v>4.3499999999999996</v>
      </c>
      <c r="C19" s="187"/>
      <c r="D19" s="258"/>
      <c r="E19" s="185" t="s">
        <v>249</v>
      </c>
      <c r="F19" s="185">
        <v>44.26</v>
      </c>
      <c r="G19" s="187"/>
    </row>
    <row r="20" spans="1:7" ht="13.8" customHeight="1">
      <c r="A20" s="185" t="s">
        <v>213</v>
      </c>
      <c r="B20" s="185">
        <v>3.6</v>
      </c>
      <c r="C20" s="187"/>
      <c r="D20" s="258"/>
      <c r="E20" s="268" t="s">
        <v>250</v>
      </c>
      <c r="F20" s="268"/>
      <c r="G20" s="187"/>
    </row>
    <row r="21" spans="1:7">
      <c r="A21" s="185" t="s">
        <v>214</v>
      </c>
      <c r="B21" s="185">
        <v>9.89</v>
      </c>
      <c r="C21" s="187"/>
      <c r="D21" s="258"/>
      <c r="E21" s="185" t="s">
        <v>251</v>
      </c>
      <c r="F21" s="158">
        <v>35016500</v>
      </c>
      <c r="G21" s="187"/>
    </row>
    <row r="22" spans="1:7" ht="13.8" customHeight="1">
      <c r="A22" s="269" t="s">
        <v>215</v>
      </c>
      <c r="B22" s="269"/>
      <c r="C22" s="45"/>
      <c r="D22" s="258"/>
      <c r="E22" s="185" t="s">
        <v>252</v>
      </c>
      <c r="F22" s="158">
        <v>29434700</v>
      </c>
      <c r="G22" s="187"/>
    </row>
    <row r="23" spans="1:7" ht="13.8" customHeight="1">
      <c r="A23" s="268" t="s">
        <v>216</v>
      </c>
      <c r="B23" s="268"/>
      <c r="C23" s="187"/>
      <c r="D23" s="258"/>
      <c r="E23" s="185" t="s">
        <v>253</v>
      </c>
      <c r="F23" s="185" t="s">
        <v>338</v>
      </c>
      <c r="G23" s="187"/>
    </row>
    <row r="24" spans="1:7">
      <c r="A24" s="185" t="s">
        <v>217</v>
      </c>
      <c r="B24" s="205">
        <v>41820</v>
      </c>
      <c r="C24" s="187"/>
      <c r="D24" s="258"/>
      <c r="E24" s="185" t="s">
        <v>254</v>
      </c>
      <c r="F24" s="185" t="s">
        <v>339</v>
      </c>
      <c r="G24" s="187"/>
    </row>
    <row r="25" spans="1:7">
      <c r="A25" s="185" t="s">
        <v>218</v>
      </c>
      <c r="B25" s="159">
        <v>41912</v>
      </c>
      <c r="C25" s="187"/>
      <c r="D25" s="258"/>
      <c r="E25" s="185" t="s">
        <v>255</v>
      </c>
      <c r="F25" s="160">
        <v>7.9100000000000004E-2</v>
      </c>
      <c r="G25" s="187"/>
    </row>
    <row r="26" spans="1:7" ht="13.8" customHeight="1">
      <c r="A26" s="268" t="s">
        <v>219</v>
      </c>
      <c r="B26" s="268"/>
      <c r="C26" s="187"/>
      <c r="D26" s="258"/>
      <c r="E26" s="185" t="s">
        <v>256</v>
      </c>
      <c r="F26" s="160">
        <v>0.71299999999999997</v>
      </c>
      <c r="G26" s="187"/>
    </row>
    <row r="27" spans="1:7">
      <c r="A27" s="185" t="s">
        <v>220</v>
      </c>
      <c r="B27" s="160">
        <v>0.23350000000000001</v>
      </c>
      <c r="C27" s="187"/>
      <c r="D27" s="258"/>
      <c r="E27" s="185" t="s">
        <v>304</v>
      </c>
      <c r="F27" s="185" t="s">
        <v>340</v>
      </c>
      <c r="G27" s="187"/>
    </row>
    <row r="28" spans="1:7">
      <c r="A28" s="185" t="s">
        <v>221</v>
      </c>
      <c r="B28" s="160">
        <v>0.31190000000000001</v>
      </c>
      <c r="C28" s="187"/>
      <c r="D28" s="258"/>
      <c r="E28" s="185" t="s">
        <v>305</v>
      </c>
      <c r="F28" s="185">
        <v>2.6</v>
      </c>
      <c r="G28" s="187"/>
    </row>
    <row r="29" spans="1:7" ht="13.8" customHeight="1">
      <c r="A29" s="268" t="s">
        <v>222</v>
      </c>
      <c r="B29" s="268"/>
      <c r="C29" s="187"/>
      <c r="D29" s="258"/>
      <c r="E29" s="185" t="s">
        <v>306</v>
      </c>
      <c r="F29" s="160">
        <v>1.2E-2</v>
      </c>
      <c r="G29" s="187"/>
    </row>
    <row r="30" spans="1:7">
      <c r="A30" s="185" t="s">
        <v>223</v>
      </c>
      <c r="B30" s="160">
        <v>0.1143</v>
      </c>
      <c r="C30" s="187"/>
      <c r="D30" s="258"/>
      <c r="E30" s="185" t="s">
        <v>257</v>
      </c>
      <c r="F30" s="185" t="s">
        <v>341</v>
      </c>
      <c r="G30" s="187"/>
    </row>
    <row r="31" spans="1:7" ht="13.8" customHeight="1">
      <c r="A31" s="185" t="s">
        <v>224</v>
      </c>
      <c r="B31" s="160">
        <v>0.24879999999999999</v>
      </c>
      <c r="C31" s="187"/>
      <c r="D31" s="258"/>
      <c r="E31" s="268" t="s">
        <v>258</v>
      </c>
      <c r="F31" s="268"/>
      <c r="G31" s="187"/>
    </row>
    <row r="32" spans="1:7" ht="13.8" customHeight="1">
      <c r="A32" s="268" t="s">
        <v>15</v>
      </c>
      <c r="B32" s="268"/>
      <c r="C32" s="187"/>
      <c r="D32" s="258"/>
      <c r="E32" s="185" t="s">
        <v>259</v>
      </c>
      <c r="F32" s="185">
        <v>1.24</v>
      </c>
      <c r="G32" s="187"/>
    </row>
    <row r="33" spans="1:7">
      <c r="A33" s="185" t="s">
        <v>225</v>
      </c>
      <c r="B33" s="185" t="s">
        <v>328</v>
      </c>
      <c r="C33" s="187"/>
      <c r="D33" s="258"/>
      <c r="E33" s="185" t="s">
        <v>260</v>
      </c>
      <c r="F33" s="160">
        <v>2.5999999999999999E-2</v>
      </c>
      <c r="G33" s="187"/>
    </row>
    <row r="34" spans="1:7">
      <c r="A34" s="185" t="s">
        <v>226</v>
      </c>
      <c r="B34" s="185">
        <v>11.06</v>
      </c>
      <c r="C34" s="187"/>
      <c r="D34" s="258"/>
      <c r="E34" s="185" t="s">
        <v>261</v>
      </c>
      <c r="F34" s="185">
        <v>1.1499999999999999</v>
      </c>
      <c r="G34" s="187"/>
    </row>
    <row r="35" spans="1:7">
      <c r="A35" s="185" t="s">
        <v>227</v>
      </c>
      <c r="B35" s="160">
        <v>0.252</v>
      </c>
      <c r="C35" s="187"/>
      <c r="D35" s="258"/>
      <c r="E35" s="185" t="s">
        <v>261</v>
      </c>
      <c r="F35" s="160">
        <v>2.4E-2</v>
      </c>
      <c r="G35" s="187"/>
    </row>
    <row r="36" spans="1:7">
      <c r="A36" s="185" t="s">
        <v>228</v>
      </c>
      <c r="B36" s="185" t="s">
        <v>329</v>
      </c>
      <c r="C36" s="187"/>
      <c r="D36" s="258"/>
      <c r="E36" s="185" t="s">
        <v>262</v>
      </c>
      <c r="F36" s="160">
        <v>2.5000000000000001E-2</v>
      </c>
      <c r="G36" s="187"/>
    </row>
    <row r="37" spans="1:7">
      <c r="A37" s="185" t="s">
        <v>229</v>
      </c>
      <c r="B37" s="185" t="s">
        <v>330</v>
      </c>
      <c r="C37" s="187"/>
      <c r="D37" s="258"/>
      <c r="E37" s="185" t="s">
        <v>263</v>
      </c>
      <c r="F37" s="160">
        <v>0.44</v>
      </c>
      <c r="G37" s="187"/>
    </row>
    <row r="38" spans="1:7">
      <c r="A38" s="185" t="s">
        <v>230</v>
      </c>
      <c r="B38" s="185" t="s">
        <v>331</v>
      </c>
      <c r="C38" s="187"/>
      <c r="D38" s="258"/>
      <c r="E38" s="185" t="s">
        <v>264</v>
      </c>
      <c r="F38" s="159">
        <v>41984</v>
      </c>
      <c r="G38" s="187"/>
    </row>
    <row r="39" spans="1:7">
      <c r="A39" s="185" t="s">
        <v>231</v>
      </c>
      <c r="B39" s="185">
        <v>2.5499999999999998</v>
      </c>
      <c r="C39" s="187"/>
      <c r="D39" s="258"/>
      <c r="E39" s="185" t="s">
        <v>265</v>
      </c>
      <c r="F39" s="159">
        <v>41961</v>
      </c>
      <c r="G39" s="187"/>
    </row>
    <row r="40" spans="1:7">
      <c r="A40" s="185" t="s">
        <v>232</v>
      </c>
      <c r="B40" s="160">
        <v>-0.13400000000000001</v>
      </c>
      <c r="C40" s="187"/>
      <c r="D40" s="258"/>
      <c r="E40" s="185" t="s">
        <v>266</v>
      </c>
      <c r="F40" s="161">
        <v>8.4027777777777771E-2</v>
      </c>
      <c r="G40" s="187"/>
    </row>
    <row r="41" spans="1:7" ht="13.8" customHeight="1">
      <c r="A41" s="268" t="s">
        <v>145</v>
      </c>
      <c r="B41" s="268"/>
      <c r="C41" s="187"/>
      <c r="D41" s="258"/>
      <c r="E41" s="185" t="s">
        <v>267</v>
      </c>
      <c r="F41" s="159">
        <v>37670</v>
      </c>
      <c r="G41" s="187"/>
    </row>
    <row r="42" spans="1:7">
      <c r="A42" s="185" t="s">
        <v>233</v>
      </c>
      <c r="B42" s="185" t="s">
        <v>332</v>
      </c>
      <c r="C42" s="187"/>
      <c r="D42" s="258"/>
      <c r="E42" s="267"/>
      <c r="F42" s="267"/>
      <c r="G42" s="267"/>
    </row>
    <row r="43" spans="1:7">
      <c r="A43" s="185" t="s">
        <v>234</v>
      </c>
      <c r="B43" s="185">
        <v>10.74</v>
      </c>
      <c r="C43" s="187"/>
      <c r="D43" s="258"/>
      <c r="E43" s="267"/>
      <c r="F43" s="267"/>
      <c r="G43" s="267"/>
    </row>
    <row r="44" spans="1:7">
      <c r="A44" s="185" t="s">
        <v>235</v>
      </c>
      <c r="B44" s="185" t="s">
        <v>333</v>
      </c>
      <c r="C44" s="187"/>
      <c r="D44" s="258"/>
      <c r="E44" s="267"/>
      <c r="F44" s="267"/>
      <c r="G44" s="267"/>
    </row>
    <row r="45" spans="1:7">
      <c r="A45" s="185" t="s">
        <v>236</v>
      </c>
      <c r="B45" s="185">
        <v>26.53</v>
      </c>
      <c r="C45" s="187"/>
      <c r="D45" s="258"/>
      <c r="E45" s="267"/>
      <c r="F45" s="267"/>
      <c r="G45" s="267"/>
    </row>
    <row r="46" spans="1:7">
      <c r="A46" s="185" t="s">
        <v>237</v>
      </c>
      <c r="B46" s="185">
        <v>2.52</v>
      </c>
      <c r="C46" s="187"/>
      <c r="D46" s="258"/>
      <c r="E46" s="267"/>
      <c r="F46" s="267"/>
      <c r="G46" s="267"/>
    </row>
    <row r="47" spans="1:7">
      <c r="A47" s="185" t="s">
        <v>238</v>
      </c>
      <c r="B47" s="185">
        <v>10.92</v>
      </c>
      <c r="C47" s="187"/>
      <c r="D47" s="258"/>
      <c r="E47" s="267"/>
      <c r="F47" s="267"/>
      <c r="G47" s="267"/>
    </row>
    <row r="48" spans="1:7" ht="13.8" customHeight="1">
      <c r="A48" s="268" t="s">
        <v>239</v>
      </c>
      <c r="B48" s="268"/>
      <c r="C48" s="187"/>
      <c r="D48" s="258"/>
      <c r="E48" s="267"/>
      <c r="F48" s="267"/>
      <c r="G48" s="267"/>
    </row>
    <row r="49" spans="1:7">
      <c r="A49" s="185" t="s">
        <v>240</v>
      </c>
      <c r="B49" s="185" t="s">
        <v>334</v>
      </c>
      <c r="C49" s="187"/>
      <c r="D49" s="258"/>
      <c r="E49" s="267"/>
      <c r="F49" s="267"/>
      <c r="G49" s="267"/>
    </row>
    <row r="50" spans="1:7">
      <c r="A50" s="185" t="s">
        <v>241</v>
      </c>
      <c r="B50" s="185" t="s">
        <v>335</v>
      </c>
      <c r="C50" s="187"/>
      <c r="D50" s="258"/>
      <c r="E50" s="267"/>
      <c r="F50" s="267"/>
      <c r="G50" s="267"/>
    </row>
    <row r="51" spans="1:7">
      <c r="A51" s="258"/>
      <c r="B51" s="258"/>
      <c r="C51" s="187"/>
      <c r="D51" s="258"/>
      <c r="E51" s="267"/>
      <c r="F51" s="267"/>
      <c r="G51" s="267"/>
    </row>
    <row r="52" spans="1:7" ht="13.8" customHeight="1">
      <c r="A52" s="273" t="s">
        <v>242</v>
      </c>
      <c r="B52" s="273"/>
      <c r="C52" s="187"/>
      <c r="D52" s="258"/>
      <c r="E52" s="267"/>
      <c r="F52" s="267"/>
      <c r="G52" s="267"/>
    </row>
    <row r="53" spans="1:7" ht="13.8" customHeight="1">
      <c r="A53" s="274" t="s">
        <v>243</v>
      </c>
      <c r="B53" s="274"/>
      <c r="C53" s="187"/>
      <c r="D53" s="258"/>
      <c r="E53" s="267"/>
      <c r="F53" s="267"/>
      <c r="G53" s="267"/>
    </row>
    <row r="54" spans="1:7" ht="15" customHeight="1">
      <c r="A54" s="272" t="s">
        <v>268</v>
      </c>
      <c r="B54" s="272"/>
      <c r="C54" s="187"/>
      <c r="D54" s="187"/>
      <c r="E54" s="187"/>
      <c r="F54" s="187"/>
      <c r="G54" s="187"/>
    </row>
    <row r="55" spans="1:7">
      <c r="A55" s="271" t="s">
        <v>269</v>
      </c>
      <c r="B55" s="271"/>
      <c r="C55" s="187"/>
      <c r="D55" s="187"/>
      <c r="E55" s="187"/>
      <c r="F55" s="187"/>
      <c r="G55" s="187"/>
    </row>
    <row r="56" spans="1:7">
      <c r="A56" s="271" t="s">
        <v>292</v>
      </c>
      <c r="B56" s="271"/>
      <c r="C56" s="187"/>
      <c r="D56" s="187"/>
      <c r="E56" s="187"/>
      <c r="F56" s="187"/>
      <c r="G56" s="187"/>
    </row>
    <row r="57" spans="1:7">
      <c r="A57" s="271" t="s">
        <v>293</v>
      </c>
      <c r="B57" s="271"/>
      <c r="C57" s="187"/>
      <c r="D57" s="187"/>
      <c r="E57" s="187"/>
      <c r="F57" s="187"/>
      <c r="G57" s="187"/>
    </row>
    <row r="58" spans="1:7">
      <c r="A58" s="271" t="s">
        <v>294</v>
      </c>
      <c r="B58" s="271"/>
      <c r="C58" s="187"/>
      <c r="D58" s="187"/>
      <c r="E58" s="187"/>
      <c r="F58" s="187"/>
      <c r="G58" s="187"/>
    </row>
    <row r="59" spans="1:7">
      <c r="A59" s="271" t="s">
        <v>342</v>
      </c>
      <c r="B59" s="271"/>
      <c r="C59" s="187"/>
      <c r="D59" s="187"/>
      <c r="E59" s="187"/>
      <c r="F59" s="187"/>
      <c r="G59" s="187"/>
    </row>
    <row r="60" spans="1:7">
      <c r="A60" s="271" t="s">
        <v>270</v>
      </c>
      <c r="B60" s="271"/>
      <c r="C60" s="187"/>
      <c r="D60" s="187"/>
      <c r="E60" s="187"/>
      <c r="F60" s="187"/>
      <c r="G60" s="187"/>
    </row>
    <row r="61" spans="1:7">
      <c r="A61" s="270" t="s">
        <v>271</v>
      </c>
      <c r="B61" s="270"/>
      <c r="C61" s="187"/>
      <c r="D61" s="187"/>
      <c r="E61" s="187"/>
      <c r="F61" s="187"/>
      <c r="G61" s="187"/>
    </row>
    <row r="62" spans="1:7">
      <c r="A62" s="270" t="s">
        <v>272</v>
      </c>
      <c r="B62" s="270"/>
      <c r="C62" s="187"/>
      <c r="D62" s="187"/>
      <c r="E62" s="187"/>
      <c r="F62" s="187"/>
      <c r="G62" s="187"/>
    </row>
    <row r="63" spans="1:7">
      <c r="A63" s="270" t="s">
        <v>273</v>
      </c>
      <c r="B63" s="270"/>
      <c r="C63" s="187"/>
      <c r="D63" s="187"/>
      <c r="E63" s="187"/>
      <c r="F63" s="187"/>
      <c r="G63" s="187"/>
    </row>
    <row r="64" spans="1:7">
      <c r="A64" s="270" t="s">
        <v>274</v>
      </c>
      <c r="B64" s="270"/>
      <c r="C64" s="187"/>
      <c r="D64" s="187"/>
      <c r="E64" s="187"/>
      <c r="F64" s="187"/>
      <c r="G64" s="187"/>
    </row>
    <row r="65" spans="1:7">
      <c r="A65" s="270" t="s">
        <v>275</v>
      </c>
      <c r="B65" s="270"/>
      <c r="C65" s="187"/>
      <c r="D65" s="187"/>
      <c r="E65" s="187"/>
      <c r="F65" s="187"/>
      <c r="G65" s="187"/>
    </row>
    <row r="66" spans="1:7">
      <c r="A66" s="270" t="s">
        <v>276</v>
      </c>
      <c r="B66" s="270"/>
      <c r="C66" s="187"/>
      <c r="D66" s="187"/>
      <c r="E66" s="187"/>
      <c r="F66" s="187"/>
      <c r="G66" s="187"/>
    </row>
    <row r="67" spans="1:7">
      <c r="A67" s="275"/>
      <c r="B67" s="275"/>
      <c r="C67" s="187"/>
      <c r="D67" s="187"/>
      <c r="E67" s="187"/>
      <c r="F67" s="187"/>
      <c r="G67" s="187"/>
    </row>
    <row r="68" spans="1:7">
      <c r="A68" s="275" t="s">
        <v>141</v>
      </c>
      <c r="B68" s="275"/>
      <c r="C68" s="187"/>
      <c r="D68" s="187"/>
      <c r="E68" s="187"/>
      <c r="F68" s="187"/>
      <c r="G68" s="187"/>
    </row>
    <row r="69" spans="1:7">
      <c r="A69" s="187"/>
      <c r="B69" s="187"/>
      <c r="C69" s="187"/>
      <c r="D69" s="187"/>
      <c r="E69" s="187"/>
      <c r="F69" s="187"/>
      <c r="G69" s="187"/>
    </row>
    <row r="70" spans="1:7">
      <c r="A70" s="173" t="s">
        <v>142</v>
      </c>
      <c r="B70" s="187"/>
      <c r="C70" s="187"/>
      <c r="D70" s="187"/>
      <c r="E70" s="187"/>
      <c r="F70" s="187"/>
      <c r="G70" s="187"/>
    </row>
    <row r="71" spans="1:7" ht="86.4">
      <c r="A71" s="37" t="s">
        <v>143</v>
      </c>
      <c r="B71" s="187"/>
      <c r="C71" s="187"/>
      <c r="D71" s="187"/>
      <c r="E71" s="187"/>
      <c r="F71" s="187"/>
      <c r="G71" s="187"/>
    </row>
    <row r="72" spans="1:7">
      <c r="A72" s="186"/>
      <c r="B72" s="187"/>
      <c r="C72" s="187"/>
      <c r="D72" s="187"/>
      <c r="E72" s="187"/>
      <c r="F72" s="187"/>
      <c r="G72" s="187"/>
    </row>
    <row r="73" spans="1:7" ht="124.2">
      <c r="A73" s="185" t="s">
        <v>277</v>
      </c>
      <c r="B73" s="187"/>
      <c r="C73" s="187"/>
      <c r="D73" s="187"/>
      <c r="E73" s="187"/>
      <c r="F73" s="187"/>
      <c r="G73" s="187"/>
    </row>
    <row r="74" spans="1:7">
      <c r="A74" s="186"/>
      <c r="B74" s="187"/>
      <c r="C74" s="187"/>
      <c r="D74" s="187"/>
      <c r="E74" s="187"/>
      <c r="F74" s="187"/>
      <c r="G74" s="187"/>
    </row>
  </sheetData>
  <mergeCells count="46">
    <mergeCell ref="A67:B67"/>
    <mergeCell ref="A68:B68"/>
    <mergeCell ref="A11:C11"/>
    <mergeCell ref="D11:D53"/>
    <mergeCell ref="E42:G42"/>
    <mergeCell ref="E43:G43"/>
    <mergeCell ref="E44:G44"/>
    <mergeCell ref="E45:G45"/>
    <mergeCell ref="E46:G46"/>
    <mergeCell ref="E47:G47"/>
    <mergeCell ref="A61:B61"/>
    <mergeCell ref="A62:B62"/>
    <mergeCell ref="A63:B63"/>
    <mergeCell ref="A64:B64"/>
    <mergeCell ref="A32:B32"/>
    <mergeCell ref="A41:B41"/>
    <mergeCell ref="A54:B54"/>
    <mergeCell ref="A52:B52"/>
    <mergeCell ref="A53:B53"/>
    <mergeCell ref="E52:G52"/>
    <mergeCell ref="E53:G53"/>
    <mergeCell ref="A65:B65"/>
    <mergeCell ref="A66:B66"/>
    <mergeCell ref="A55:B55"/>
    <mergeCell ref="A56:B56"/>
    <mergeCell ref="A57:B57"/>
    <mergeCell ref="A58:B58"/>
    <mergeCell ref="A59:B59"/>
    <mergeCell ref="A60:B60"/>
    <mergeCell ref="E31:F31"/>
    <mergeCell ref="A29:B29"/>
    <mergeCell ref="A26:B26"/>
    <mergeCell ref="E11:F11"/>
    <mergeCell ref="E12:F12"/>
    <mergeCell ref="E20:F20"/>
    <mergeCell ref="A1:A2"/>
    <mergeCell ref="A10:B10"/>
    <mergeCell ref="A12:B12"/>
    <mergeCell ref="A22:B22"/>
    <mergeCell ref="A23:B23"/>
    <mergeCell ref="E49:G49"/>
    <mergeCell ref="E50:G50"/>
    <mergeCell ref="E51:G51"/>
    <mergeCell ref="A48:B48"/>
    <mergeCell ref="A51:B51"/>
    <mergeCell ref="E48:G48"/>
  </mergeCells>
  <hyperlinks>
    <hyperlink ref="A8" r:id="rId1" display="http://clicks.beap.bc.yahoo.com/yc/YnY9MS4wLjAmYnM9KDE3c2c5MWc1NyhnaWQkQnJjMmp6WTVMakdCZUJ2Y1ZFVW1SUUNGTVRJNUxsUjNJVWJfX3d4QSxzdCQxNDE3MDkzNDQ4MTI5MjYwLHNpJDQ0NTEwNTEsc3AkOTU5NDEzNTMsY3IkNDI3ODEyMDU1MSx2JDIuMCxhaWQkd0FLT2hHS0w0SlUtLGN0JDI1LHlieCRXYmxCQWpOQlBZU0FKTTg5aG1RTUhRLGJpJDIxNDk3MjIwNTEsbW1lJDkwNzQ1MTIzNDkxMzcwNDg3OTcsbG5nJGVuLXVzLHIkMSxyZCQxNHF0ODE2dXMseW9vJDEsYWdwJDMyODcyNzc1NTEsYXAkRkIyKSk/1/*https:/ad.wsod.com/click/577da7fee6e9ff57afc5f23882acdf54/60.0.img.120x60/1417093448.192151?yud=&amp;encver=$%7bENC_VERSION%7d&amp;encalgo=$%7bENC_ALGO%7d&amp;app=apt&amp;intf=1"/>
    <hyperlink ref="D8" r:id="rId2" display="http://clicks.beap.bc.yahoo.com/yc/YnY9MS4wLjAmYnM9KDE3czN0Z3ZoZShnaWQkQnJjMmp6WTVMakdCZUJ2Y1ZFVW1SUUNGTVRJNUxsUjNJVWJfX3d4QSxzdCQxNDE3MDkzNDQ4MTI5MjYwLHNpJDQ0NTEwNTEsc3AkOTU5NDEzNTMsY3IkNDI5MzE3ODA1MSx2JDIuMCxhaWQkV2pxUGhHS0w0SlUtLGN0JDI1LHlieCRXYmxCQWpOQlBZU0FKTTg5aG1RTUhRLGJpJDIxNzgwODg1NTEsbW1lJDkxOTMzNDMzNTY3OTkxOTg0ODksbG5nJGVuLXVzLHIkMSxyZCQxNGJ0N29ncGIseW9vJDEsYWdwJDMzMzMzNTMwNTEsYXAkRkIyKSk/1/*https:/ad.wsod.com/click/8bec9b10877d5d7fd7c0fb6e6a631357/1542.0.img.120x60/?yud=&amp;encver=$%7bENC_VERSION%7d&amp;encalgo=$%7bENC_ALGO%7d&amp;app=apt&amp;intf=1"/>
    <hyperlink ref="A11" r:id="rId3" display="http://us.rd.yahoo.com/finance/capiq/SIG=10r7m9m4m/*http:/www.capitaliq.com/"/>
    <hyperlink ref="A54" r:id="rId4" display="http://help.yahoo.com/l/us/yahoo/finance/tools/fitakeystats.html"/>
    <hyperlink ref="A71" r:id="rId5" display="http://help.yahoo.com/l/us/yahoo/finance/quotes/fitadelay.html"/>
  </hyperlinks>
  <pageMargins left="0.75" right="0.75" top="1" bottom="1" header="0.5" footer="0.5"/>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34"/>
  <sheetViews>
    <sheetView workbookViewId="0">
      <selection sqref="A1:XFD1048576"/>
    </sheetView>
  </sheetViews>
  <sheetFormatPr defaultRowHeight="14.4"/>
  <cols>
    <col min="1" max="1" width="22" customWidth="1"/>
    <col min="2" max="2" width="16.6640625" customWidth="1"/>
    <col min="3" max="3" width="7.5546875" customWidth="1"/>
    <col min="4" max="4" width="6.109375" customWidth="1"/>
    <col min="5" max="5" width="34.88671875" bestFit="1" customWidth="1"/>
    <col min="6" max="6" width="8.6640625" customWidth="1"/>
  </cols>
  <sheetData>
    <row r="1" spans="1:3">
      <c r="A1" s="258"/>
      <c r="B1" s="34" t="s">
        <v>78</v>
      </c>
      <c r="C1" s="187"/>
    </row>
    <row r="2" spans="1:3">
      <c r="A2" s="258"/>
      <c r="B2" s="34" t="s">
        <v>79</v>
      </c>
      <c r="C2" s="187"/>
    </row>
    <row r="3" spans="1:3">
      <c r="A3" s="187"/>
      <c r="B3" s="187"/>
      <c r="C3" s="187"/>
    </row>
    <row r="4" spans="1:3">
      <c r="A4" s="189" t="s">
        <v>80</v>
      </c>
      <c r="B4" s="185">
        <v>47.47</v>
      </c>
      <c r="C4" s="187"/>
    </row>
    <row r="5" spans="1:3">
      <c r="A5" s="189" t="s">
        <v>81</v>
      </c>
      <c r="B5" s="185">
        <v>47.45</v>
      </c>
      <c r="C5" s="187"/>
    </row>
    <row r="6" spans="1:3">
      <c r="A6" s="189" t="s">
        <v>82</v>
      </c>
      <c r="B6" s="185" t="s">
        <v>315</v>
      </c>
      <c r="C6" s="187"/>
    </row>
    <row r="7" spans="1:3">
      <c r="A7" s="189" t="s">
        <v>83</v>
      </c>
      <c r="B7" s="185" t="s">
        <v>296</v>
      </c>
      <c r="C7" s="187"/>
    </row>
    <row r="8" spans="1:3">
      <c r="A8" s="189" t="s">
        <v>84</v>
      </c>
      <c r="B8" s="185">
        <v>49.1</v>
      </c>
      <c r="C8" s="187"/>
    </row>
    <row r="9" spans="1:3">
      <c r="A9" s="189" t="s">
        <v>85</v>
      </c>
      <c r="B9" s="185">
        <v>0.73</v>
      </c>
      <c r="C9" s="187"/>
    </row>
    <row r="10" spans="1:3">
      <c r="A10" s="189" t="s">
        <v>297</v>
      </c>
      <c r="B10" s="185" t="s">
        <v>316</v>
      </c>
      <c r="C10" s="187"/>
    </row>
    <row r="11" spans="1:3">
      <c r="A11" s="187"/>
      <c r="B11" s="187"/>
      <c r="C11" s="187"/>
    </row>
    <row r="12" spans="1:3">
      <c r="A12" s="189" t="s">
        <v>86</v>
      </c>
      <c r="B12" s="185" t="s">
        <v>317</v>
      </c>
      <c r="C12" s="187"/>
    </row>
    <row r="13" spans="1:3">
      <c r="A13" s="189" t="s">
        <v>87</v>
      </c>
      <c r="B13" s="185" t="s">
        <v>318</v>
      </c>
      <c r="C13" s="187"/>
    </row>
    <row r="14" spans="1:3">
      <c r="A14" s="189" t="s">
        <v>88</v>
      </c>
      <c r="B14" s="158">
        <v>27164877</v>
      </c>
      <c r="C14" s="187"/>
    </row>
    <row r="15" spans="1:3">
      <c r="A15" s="189" t="s">
        <v>89</v>
      </c>
      <c r="B15" s="158">
        <v>35016500</v>
      </c>
      <c r="C15" s="187"/>
    </row>
    <row r="16" spans="1:3">
      <c r="A16" s="189" t="s">
        <v>90</v>
      </c>
      <c r="B16" s="185" t="s">
        <v>319</v>
      </c>
      <c r="C16" s="187"/>
    </row>
    <row r="17" spans="1:3">
      <c r="A17" s="189" t="s">
        <v>91</v>
      </c>
      <c r="B17" s="185">
        <v>18.72</v>
      </c>
      <c r="C17" s="187"/>
    </row>
    <row r="18" spans="1:3">
      <c r="A18" s="189" t="s">
        <v>92</v>
      </c>
      <c r="B18" s="185">
        <v>2.5499999999999998</v>
      </c>
      <c r="C18" s="187"/>
    </row>
    <row r="19" spans="1:3">
      <c r="A19" s="189" t="s">
        <v>93</v>
      </c>
      <c r="B19" s="185" t="s">
        <v>320</v>
      </c>
      <c r="C19" s="187"/>
    </row>
    <row r="20" spans="1:3">
      <c r="A20" s="187"/>
      <c r="B20" s="187"/>
      <c r="C20" s="187"/>
    </row>
    <row r="21" spans="1:3">
      <c r="A21" s="189" t="s">
        <v>94</v>
      </c>
      <c r="B21" s="189" t="s">
        <v>95</v>
      </c>
      <c r="C21" s="189" t="s">
        <v>96</v>
      </c>
    </row>
    <row r="22" spans="1:3">
      <c r="A22" s="185" t="s">
        <v>314</v>
      </c>
      <c r="B22" s="185" t="s">
        <v>321</v>
      </c>
      <c r="C22" s="185" t="s">
        <v>319</v>
      </c>
    </row>
    <row r="23" spans="1:3">
      <c r="A23" s="37" t="s">
        <v>295</v>
      </c>
      <c r="B23" s="185" t="s">
        <v>299</v>
      </c>
      <c r="C23" s="185" t="s">
        <v>298</v>
      </c>
    </row>
    <row r="24" spans="1:3">
      <c r="A24" s="37" t="s">
        <v>300</v>
      </c>
      <c r="B24" s="185" t="s">
        <v>301</v>
      </c>
      <c r="C24" s="185" t="s">
        <v>302</v>
      </c>
    </row>
    <row r="25" spans="1:3">
      <c r="A25" s="37" t="s">
        <v>322</v>
      </c>
      <c r="B25" s="185" t="s">
        <v>323</v>
      </c>
      <c r="C25" s="185" t="s">
        <v>324</v>
      </c>
    </row>
    <row r="26" spans="1:3">
      <c r="A26" s="187"/>
      <c r="B26" s="187"/>
      <c r="C26" s="187"/>
    </row>
    <row r="27" spans="1:3">
      <c r="A27" s="189" t="s">
        <v>97</v>
      </c>
      <c r="B27" s="185">
        <v>15.21</v>
      </c>
      <c r="C27" s="187"/>
    </row>
    <row r="28" spans="1:3">
      <c r="A28" s="189" t="s">
        <v>98</v>
      </c>
      <c r="B28" s="185">
        <v>4.28</v>
      </c>
      <c r="C28" s="187"/>
    </row>
    <row r="29" spans="1:3">
      <c r="A29" s="189" t="s">
        <v>99</v>
      </c>
      <c r="B29" s="159">
        <v>41961</v>
      </c>
      <c r="C29" s="187"/>
    </row>
    <row r="30" spans="1:3">
      <c r="A30" s="187"/>
      <c r="B30" s="187"/>
      <c r="C30" s="187"/>
    </row>
    <row r="31" spans="1:3">
      <c r="A31" s="189" t="s">
        <v>325</v>
      </c>
      <c r="B31" s="185">
        <v>2.67</v>
      </c>
      <c r="C31" s="187"/>
    </row>
    <row r="32" spans="1:3">
      <c r="A32" s="189" t="s">
        <v>100</v>
      </c>
      <c r="B32" s="185">
        <v>0.72</v>
      </c>
      <c r="C32" s="187"/>
    </row>
    <row r="33" spans="1:3">
      <c r="A33" s="189" t="s">
        <v>101</v>
      </c>
      <c r="B33" s="185">
        <v>2.5</v>
      </c>
      <c r="C33" s="187"/>
    </row>
    <row r="34" spans="1:3">
      <c r="A34" s="189" t="s">
        <v>102</v>
      </c>
      <c r="B34" s="185">
        <v>2.73</v>
      </c>
      <c r="C34" s="187"/>
    </row>
  </sheetData>
  <mergeCells count="1">
    <mergeCell ref="A1:A2"/>
  </mergeCells>
  <hyperlinks>
    <hyperlink ref="A23" r:id="rId1" tooltip="Apple Inc." display="http://finance.yahoo.com/q?s=AAPL"/>
    <hyperlink ref="A24" r:id="rId2" tooltip="Google Inc." display="http://finance.yahoo.com/q?s=GOOG"/>
    <hyperlink ref="A25" r:id="rId3" tooltip="Oracle Corporation" display="http://finance.yahoo.com/q?s=ORCL"/>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190</vt:i4>
      </vt:variant>
    </vt:vector>
  </HeadingPairs>
  <TitlesOfParts>
    <vt:vector size="200" baseType="lpstr">
      <vt:lpstr>DCF</vt:lpstr>
      <vt:lpstr>Sensitivity</vt:lpstr>
      <vt:lpstr>Stocks</vt:lpstr>
      <vt:lpstr>Inputs</vt:lpstr>
      <vt:lpstr>IS</vt:lpstr>
      <vt:lpstr>BS</vt:lpstr>
      <vt:lpstr>CF</vt:lpstr>
      <vt:lpstr>Bonds</vt:lpstr>
      <vt:lpstr>Stats</vt:lpstr>
      <vt:lpstr>Stock</vt:lpstr>
      <vt:lpstr>BS!ExternalData_1</vt:lpstr>
      <vt:lpstr>CF!ExternalData_1</vt:lpstr>
      <vt:lpstr>Stock!ExternalData_1</vt:lpstr>
      <vt:lpstr>BS!ExternalData_10</vt:lpstr>
      <vt:lpstr>Stats!ExternalData_10</vt:lpstr>
      <vt:lpstr>Stock!ExternalData_10</vt:lpstr>
      <vt:lpstr>BS!ExternalData_11</vt:lpstr>
      <vt:lpstr>CF!ExternalData_11</vt:lpstr>
      <vt:lpstr>Stock!ExternalData_11</vt:lpstr>
      <vt:lpstr>Bonds!ExternalData_12</vt:lpstr>
      <vt:lpstr>BS!ExternalData_12</vt:lpstr>
      <vt:lpstr>CF!ExternalData_12</vt:lpstr>
      <vt:lpstr>IS!ExternalData_12</vt:lpstr>
      <vt:lpstr>Stats!ExternalData_12</vt:lpstr>
      <vt:lpstr>Stock!ExternalData_12</vt:lpstr>
      <vt:lpstr>BS!ExternalData_13</vt:lpstr>
      <vt:lpstr>CF!ExternalData_13</vt:lpstr>
      <vt:lpstr>IS!ExternalData_13</vt:lpstr>
      <vt:lpstr>Stats!ExternalData_13</vt:lpstr>
      <vt:lpstr>Stock!ExternalData_13</vt:lpstr>
      <vt:lpstr>BS!ExternalData_14</vt:lpstr>
      <vt:lpstr>CF!ExternalData_14</vt:lpstr>
      <vt:lpstr>IS!ExternalData_14</vt:lpstr>
      <vt:lpstr>Stats!ExternalData_14</vt:lpstr>
      <vt:lpstr>Stock!ExternalData_14</vt:lpstr>
      <vt:lpstr>Bonds!ExternalData_15</vt:lpstr>
      <vt:lpstr>CF!ExternalData_15</vt:lpstr>
      <vt:lpstr>Stats!ExternalData_15</vt:lpstr>
      <vt:lpstr>Stock!ExternalData_15</vt:lpstr>
      <vt:lpstr>Bonds!ExternalData_16</vt:lpstr>
      <vt:lpstr>BS!ExternalData_16</vt:lpstr>
      <vt:lpstr>IS!ExternalData_16</vt:lpstr>
      <vt:lpstr>Stats!ExternalData_16</vt:lpstr>
      <vt:lpstr>Stock!ExternalData_16</vt:lpstr>
      <vt:lpstr>Bonds!ExternalData_17</vt:lpstr>
      <vt:lpstr>BS!ExternalData_17</vt:lpstr>
      <vt:lpstr>CF!ExternalData_17</vt:lpstr>
      <vt:lpstr>IS!ExternalData_17</vt:lpstr>
      <vt:lpstr>Stock!ExternalData_17</vt:lpstr>
      <vt:lpstr>Bonds!ExternalData_18</vt:lpstr>
      <vt:lpstr>BS!ExternalData_18</vt:lpstr>
      <vt:lpstr>CF!ExternalData_18</vt:lpstr>
      <vt:lpstr>IS!ExternalData_18</vt:lpstr>
      <vt:lpstr>Stats!ExternalData_18</vt:lpstr>
      <vt:lpstr>Stock!ExternalData_18</vt:lpstr>
      <vt:lpstr>BS!ExternalData_19</vt:lpstr>
      <vt:lpstr>IS!ExternalData_19</vt:lpstr>
      <vt:lpstr>Stats!ExternalData_19</vt:lpstr>
      <vt:lpstr>Stock!ExternalData_19</vt:lpstr>
      <vt:lpstr>IS!ExternalData_2</vt:lpstr>
      <vt:lpstr>Stock!ExternalData_2</vt:lpstr>
      <vt:lpstr>BS!ExternalData_20</vt:lpstr>
      <vt:lpstr>CF!ExternalData_20</vt:lpstr>
      <vt:lpstr>IS!ExternalData_20</vt:lpstr>
      <vt:lpstr>Stats!ExternalData_20</vt:lpstr>
      <vt:lpstr>Stock!ExternalData_20</vt:lpstr>
      <vt:lpstr>Bonds!ExternalData_21</vt:lpstr>
      <vt:lpstr>BS!ExternalData_21</vt:lpstr>
      <vt:lpstr>CF!ExternalData_21</vt:lpstr>
      <vt:lpstr>IS!ExternalData_21</vt:lpstr>
      <vt:lpstr>Stats!ExternalData_21</vt:lpstr>
      <vt:lpstr>Stock!ExternalData_21</vt:lpstr>
      <vt:lpstr>Bonds!ExternalData_22</vt:lpstr>
      <vt:lpstr>BS!ExternalData_22</vt:lpstr>
      <vt:lpstr>CF!ExternalData_22</vt:lpstr>
      <vt:lpstr>Stats!ExternalData_22</vt:lpstr>
      <vt:lpstr>Stock!ExternalData_22</vt:lpstr>
      <vt:lpstr>Bonds!ExternalData_23</vt:lpstr>
      <vt:lpstr>BS!ExternalData_23</vt:lpstr>
      <vt:lpstr>IS!ExternalData_23</vt:lpstr>
      <vt:lpstr>Stock!ExternalData_23</vt:lpstr>
      <vt:lpstr>Bonds!ExternalData_24</vt:lpstr>
      <vt:lpstr>Stats!ExternalData_24</vt:lpstr>
      <vt:lpstr>Stock!ExternalData_24</vt:lpstr>
      <vt:lpstr>Bonds!ExternalData_25</vt:lpstr>
      <vt:lpstr>BS!ExternalData_25</vt:lpstr>
      <vt:lpstr>CF!ExternalData_25</vt:lpstr>
      <vt:lpstr>Stats!ExternalData_25</vt:lpstr>
      <vt:lpstr>Stock!ExternalData_25</vt:lpstr>
      <vt:lpstr>Bonds!ExternalData_26</vt:lpstr>
      <vt:lpstr>BS!ExternalData_26</vt:lpstr>
      <vt:lpstr>CF!ExternalData_26</vt:lpstr>
      <vt:lpstr>Stats!ExternalData_26</vt:lpstr>
      <vt:lpstr>Stock!ExternalData_26</vt:lpstr>
      <vt:lpstr>Bonds!ExternalData_27</vt:lpstr>
      <vt:lpstr>BS!ExternalData_27</vt:lpstr>
      <vt:lpstr>CF!ExternalData_27</vt:lpstr>
      <vt:lpstr>Stats!ExternalData_27</vt:lpstr>
      <vt:lpstr>Stock!ExternalData_27</vt:lpstr>
      <vt:lpstr>Bonds!ExternalData_28</vt:lpstr>
      <vt:lpstr>BS!ExternalData_28</vt:lpstr>
      <vt:lpstr>CF!ExternalData_28</vt:lpstr>
      <vt:lpstr>Stats!ExternalData_28</vt:lpstr>
      <vt:lpstr>Stock!ExternalData_28</vt:lpstr>
      <vt:lpstr>Bonds!ExternalData_29</vt:lpstr>
      <vt:lpstr>BS!ExternalData_29</vt:lpstr>
      <vt:lpstr>CF!ExternalData_29</vt:lpstr>
      <vt:lpstr>Stats!ExternalData_29</vt:lpstr>
      <vt:lpstr>Stock!ExternalData_29</vt:lpstr>
      <vt:lpstr>Bonds!ExternalData_3</vt:lpstr>
      <vt:lpstr>CF!ExternalData_3</vt:lpstr>
      <vt:lpstr>IS!ExternalData_3</vt:lpstr>
      <vt:lpstr>Stats!ExternalData_3</vt:lpstr>
      <vt:lpstr>Stock!ExternalData_3</vt:lpstr>
      <vt:lpstr>Bonds!ExternalData_30</vt:lpstr>
      <vt:lpstr>BS!ExternalData_30</vt:lpstr>
      <vt:lpstr>CF!ExternalData_30</vt:lpstr>
      <vt:lpstr>Stats!ExternalData_30</vt:lpstr>
      <vt:lpstr>Stock!ExternalData_30</vt:lpstr>
      <vt:lpstr>Bonds!ExternalData_31</vt:lpstr>
      <vt:lpstr>BS!ExternalData_31</vt:lpstr>
      <vt:lpstr>CF!ExternalData_31</vt:lpstr>
      <vt:lpstr>Stats!ExternalData_31</vt:lpstr>
      <vt:lpstr>Stock!ExternalData_31</vt:lpstr>
      <vt:lpstr>Bonds!ExternalData_32</vt:lpstr>
      <vt:lpstr>BS!ExternalData_32</vt:lpstr>
      <vt:lpstr>CF!ExternalData_32</vt:lpstr>
      <vt:lpstr>Stats!ExternalData_32</vt:lpstr>
      <vt:lpstr>Stock!ExternalData_32</vt:lpstr>
      <vt:lpstr>Bonds!ExternalData_33</vt:lpstr>
      <vt:lpstr>BS!ExternalData_33</vt:lpstr>
      <vt:lpstr>IS!ExternalData_33</vt:lpstr>
      <vt:lpstr>Stats!ExternalData_33</vt:lpstr>
      <vt:lpstr>Stock!ExternalData_33</vt:lpstr>
      <vt:lpstr>Bonds!ExternalData_34</vt:lpstr>
      <vt:lpstr>BS!ExternalData_34</vt:lpstr>
      <vt:lpstr>CF!ExternalData_34</vt:lpstr>
      <vt:lpstr>IS!ExternalData_34</vt:lpstr>
      <vt:lpstr>Stock!ExternalData_34</vt:lpstr>
      <vt:lpstr>Bonds!ExternalData_35</vt:lpstr>
      <vt:lpstr>BS!ExternalData_35</vt:lpstr>
      <vt:lpstr>CF!ExternalData_35</vt:lpstr>
      <vt:lpstr>Stats!ExternalData_35</vt:lpstr>
      <vt:lpstr>Stock!ExternalData_35</vt:lpstr>
      <vt:lpstr>Bonds!ExternalData_36</vt:lpstr>
      <vt:lpstr>BS!ExternalData_36</vt:lpstr>
      <vt:lpstr>CF!ExternalData_36</vt:lpstr>
      <vt:lpstr>IS!ExternalData_36</vt:lpstr>
      <vt:lpstr>Stats!ExternalData_36</vt:lpstr>
      <vt:lpstr>Stock!ExternalData_36</vt:lpstr>
      <vt:lpstr>Bonds!ExternalData_37</vt:lpstr>
      <vt:lpstr>BS!ExternalData_37</vt:lpstr>
      <vt:lpstr>CF!ExternalData_37</vt:lpstr>
      <vt:lpstr>IS!ExternalData_37</vt:lpstr>
      <vt:lpstr>Stats!ExternalData_37</vt:lpstr>
      <vt:lpstr>Stock!ExternalData_37</vt:lpstr>
      <vt:lpstr>IS!ExternalData_38</vt:lpstr>
      <vt:lpstr>Stats!ExternalData_38</vt:lpstr>
      <vt:lpstr>Stock!ExternalData_38</vt:lpstr>
      <vt:lpstr>IS!ExternalData_39</vt:lpstr>
      <vt:lpstr>Stock!ExternalData_39</vt:lpstr>
      <vt:lpstr>CF!ExternalData_4</vt:lpstr>
      <vt:lpstr>IS!ExternalData_4</vt:lpstr>
      <vt:lpstr>Stats!ExternalData_4</vt:lpstr>
      <vt:lpstr>Stock!ExternalData_4</vt:lpstr>
      <vt:lpstr>IS!ExternalData_40</vt:lpstr>
      <vt:lpstr>Stock!ExternalData_40</vt:lpstr>
      <vt:lpstr>Stock!ExternalData_41</vt:lpstr>
      <vt:lpstr>IS!ExternalData_42</vt:lpstr>
      <vt:lpstr>Stock!ExternalData_42</vt:lpstr>
      <vt:lpstr>IS!ExternalData_43</vt:lpstr>
      <vt:lpstr>Stock!ExternalData_43</vt:lpstr>
      <vt:lpstr>IS!ExternalData_44</vt:lpstr>
      <vt:lpstr>Stock!ExternalData_44</vt:lpstr>
      <vt:lpstr>IS!ExternalData_45</vt:lpstr>
      <vt:lpstr>Stock!ExternalData_45</vt:lpstr>
      <vt:lpstr>IS!ExternalData_46</vt:lpstr>
      <vt:lpstr>Stock!ExternalData_46</vt:lpstr>
      <vt:lpstr>IS!ExternalData_47</vt:lpstr>
      <vt:lpstr>IS!ExternalData_48</vt:lpstr>
      <vt:lpstr>IS!ExternalData_49</vt:lpstr>
      <vt:lpstr>Bonds!ExternalData_5</vt:lpstr>
      <vt:lpstr>CF!ExternalData_5</vt:lpstr>
      <vt:lpstr>IS!ExternalData_5</vt:lpstr>
      <vt:lpstr>Stock!ExternalData_5</vt:lpstr>
      <vt:lpstr>Bonds!ExternalData_6</vt:lpstr>
      <vt:lpstr>IS!ExternalData_6</vt:lpstr>
      <vt:lpstr>Stock!ExternalData_6</vt:lpstr>
      <vt:lpstr>Bonds!ExternalData_7</vt:lpstr>
      <vt:lpstr>CF!ExternalData_7</vt:lpstr>
      <vt:lpstr>IS!ExternalData_7</vt:lpstr>
      <vt:lpstr>Stock!ExternalData_7</vt:lpstr>
      <vt:lpstr>BS!ExternalData_8</vt:lpstr>
      <vt:lpstr>IS!ExternalData_8</vt:lpstr>
      <vt:lpstr>Stock!ExternalData_8</vt:lpstr>
      <vt:lpstr>Bonds!ExternalData_9</vt:lpstr>
      <vt:lpstr>CF!ExternalData_9</vt:lpstr>
      <vt:lpstr>IS!ExternalData_9</vt:lpstr>
      <vt:lpstr>Stats!ExternalData_9</vt:lpstr>
      <vt:lpstr>Stock!ExternalData_9</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dc:creator>
  <cp:lastModifiedBy>Windows User</cp:lastModifiedBy>
  <dcterms:created xsi:type="dcterms:W3CDTF">2014-10-20T15:24:20Z</dcterms:created>
  <dcterms:modified xsi:type="dcterms:W3CDTF">2014-12-07T23:43:15Z</dcterms:modified>
</cp:coreProperties>
</file>